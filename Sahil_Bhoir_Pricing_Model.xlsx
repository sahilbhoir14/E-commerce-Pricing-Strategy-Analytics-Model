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ment\"/>
    </mc:Choice>
  </mc:AlternateContent>
  <xr:revisionPtr revIDLastSave="0" documentId="13_ncr:1_{DAF91D59-BAA0-4C64-B7D5-AF6B24F26C05}" xr6:coauthVersionLast="47" xr6:coauthVersionMax="47" xr10:uidLastSave="{00000000-0000-0000-0000-000000000000}"/>
  <bookViews>
    <workbookView xWindow="-108" yWindow="-108" windowWidth="23256" windowHeight="12456" activeTab="2" xr2:uid="{69BC76D9-AB33-4051-8A79-5B776512A07E}"/>
  </bookViews>
  <sheets>
    <sheet name="Ads_Performance" sheetId="2" r:id="rId1"/>
    <sheet name="Competitor_Data" sheetId="3" r:id="rId2"/>
    <sheet name="Pricing_Logic" sheetId="9" r:id="rId3"/>
    <sheet name="Historical_Sales" sheetId="4" r:id="rId4"/>
    <sheet name="Inventory_Health" sheetId="5" r:id="rId5"/>
    <sheet name="Returns_Data" sheetId="7" r:id="rId6"/>
    <sheet name="Pricing_Data" sheetId="8" r:id="rId7"/>
    <sheet name="Sheet2" sheetId="6" r:id="rId8"/>
    <sheet name="Sheet1" sheetId="1" r:id="rId9"/>
  </sheets>
  <definedNames>
    <definedName name="ExternalData_1" localSheetId="0" hidden="1">Ads_Performance!$A$1:$F$51</definedName>
    <definedName name="ExternalData_1" localSheetId="1" hidden="1">'Competitor_Data'!$A$1:$E$51</definedName>
    <definedName name="ExternalData_1" localSheetId="3" hidden="1">Historical_Sales!$A$1:$G$51</definedName>
    <definedName name="ExternalData_1" localSheetId="4" hidden="1">Inventory_Health!$A$1:$Y$51</definedName>
    <definedName name="ExternalData_1" localSheetId="6" hidden="1">Pricing_Data!$A$1:$O$50</definedName>
    <definedName name="ExternalData_1" localSheetId="5" hidden="1">'Returns_Data'!$A$1:$C$51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9" l="1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M21" i="9"/>
  <c r="M22" i="9"/>
  <c r="M23" i="9"/>
  <c r="M24" i="9"/>
  <c r="M25" i="9"/>
  <c r="M26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I3" i="9"/>
  <c r="I4" i="9"/>
  <c r="I5" i="9"/>
  <c r="M5" i="9" s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M18" i="9" s="1"/>
  <c r="G19" i="9"/>
  <c r="G20" i="9"/>
  <c r="G21" i="9"/>
  <c r="G22" i="9"/>
  <c r="G23" i="9"/>
  <c r="G24" i="9"/>
  <c r="G25" i="9"/>
  <c r="G26" i="9"/>
  <c r="F21" i="9"/>
  <c r="F22" i="9"/>
  <c r="F23" i="9"/>
  <c r="F24" i="9"/>
  <c r="F25" i="9"/>
  <c r="F26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M6" i="9"/>
  <c r="M7" i="9"/>
  <c r="M8" i="9"/>
  <c r="M9" i="9"/>
  <c r="M10" i="9"/>
  <c r="M11" i="9"/>
  <c r="M12" i="9"/>
  <c r="M13" i="9"/>
  <c r="M19" i="9"/>
  <c r="M20" i="9"/>
  <c r="J2" i="9"/>
  <c r="G2" i="9"/>
  <c r="E2" i="9"/>
  <c r="D2" i="9"/>
  <c r="C2" i="9"/>
  <c r="B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K2" i="9"/>
  <c r="L2" i="9" s="1"/>
  <c r="M2" i="9" s="1"/>
  <c r="I2" i="9"/>
  <c r="H2" i="9"/>
  <c r="F2" i="9"/>
  <c r="M17" i="9" l="1"/>
  <c r="M16" i="9"/>
  <c r="M4" i="9"/>
  <c r="M3" i="9"/>
  <c r="M15" i="9"/>
  <c r="M14" i="9"/>
  <c r="N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67BF51-292A-4A0A-BE20-1F22246C902B}" keepAlive="1" name="Query - Ads_Performance" description="Connection to the 'Ads_Performance' query in the workbook." type="5" refreshedVersion="8" background="1" saveData="1">
    <dbPr connection="Provider=Microsoft.Mashup.OleDb.1;Data Source=$Workbook$;Location=Ads_Performance;Extended Properties=&quot;&quot;" command="SELECT * FROM [Ads_Performance]"/>
  </connection>
  <connection id="2" xr16:uid="{2AE51B80-E996-458C-BE3A-3D94AA295D1B}" keepAlive="1" name="Query - Competitor_Data" description="Connection to the 'Competitor_Data' query in the workbook." type="5" refreshedVersion="8" background="1" saveData="1">
    <dbPr connection="Provider=Microsoft.Mashup.OleDb.1;Data Source=$Workbook$;Location=Competitor_Data;Extended Properties=&quot;&quot;" command="SELECT * FROM [Competitor_Data]"/>
  </connection>
  <connection id="3" xr16:uid="{201C6C1C-4AE5-4264-ADC6-7D1676F8C089}" keepAlive="1" name="Query - Historical_Sales" description="Connection to the 'Historical_Sales' query in the workbook." type="5" refreshedVersion="8" background="1" saveData="1">
    <dbPr connection="Provider=Microsoft.Mashup.OleDb.1;Data Source=$Workbook$;Location=Historical_Sales;Extended Properties=&quot;&quot;" command="SELECT * FROM [Historical_Sales]"/>
  </connection>
  <connection id="4" xr16:uid="{400C9B5A-D4E5-423A-A0AD-D2E0430CB95D}" keepAlive="1" name="Query - Inventory_Health" description="Connection to the 'Inventory_Health' query in the workbook." type="5" refreshedVersion="8" background="1" saveData="1">
    <dbPr connection="Provider=Microsoft.Mashup.OleDb.1;Data Source=$Workbook$;Location=Inventory_Health;Extended Properties=&quot;&quot;" command="SELECT * FROM [Inventory_Health]"/>
  </connection>
  <connection id="5" xr16:uid="{398C5213-005E-4177-88C5-3E19DDE644BA}" keepAlive="1" name="Query - Pricing_Data" description="Connection to the 'Pricing_Data' query in the workbook." type="5" refreshedVersion="8" background="1" saveData="1">
    <dbPr connection="Provider=Microsoft.Mashup.OleDb.1;Data Source=$Workbook$;Location=Pricing_Data;Extended Properties=&quot;&quot;" command="SELECT * FROM [Pricing_Data]"/>
  </connection>
  <connection id="6" xr16:uid="{79A8A836-5A11-4710-AAB7-1FD6A517375E}" keepAlive="1" name="Query - Returns_Data" description="Connection to the 'Returns_Data' query in the workbook." type="5" refreshedVersion="8" background="1" saveData="1">
    <dbPr connection="Provider=Microsoft.Mashup.OleDb.1;Data Source=$Workbook$;Location=Returns_Data;Extended Properties=&quot;&quot;" command="SELECT * FROM [Returns_Data]"/>
  </connection>
</connections>
</file>

<file path=xl/sharedStrings.xml><?xml version="1.0" encoding="utf-8"?>
<sst xmlns="http://schemas.openxmlformats.org/spreadsheetml/2006/main" count="945" uniqueCount="200">
  <si>
    <t>SKU</t>
  </si>
  <si>
    <t>MN-16</t>
  </si>
  <si>
    <t>USD</t>
  </si>
  <si>
    <t>MN-15</t>
  </si>
  <si>
    <t>MN-14</t>
  </si>
  <si>
    <t>MN-17</t>
  </si>
  <si>
    <t>MN-25</t>
  </si>
  <si>
    <t>MN-13</t>
  </si>
  <si>
    <t>MN-22</t>
  </si>
  <si>
    <t>MN-19</t>
  </si>
  <si>
    <t>MN-37</t>
  </si>
  <si>
    <t>MN-12</t>
  </si>
  <si>
    <t>MN-26</t>
  </si>
  <si>
    <t>MN-27</t>
  </si>
  <si>
    <t>MN-28</t>
  </si>
  <si>
    <t>MN-29</t>
  </si>
  <si>
    <t>MN-30</t>
  </si>
  <si>
    <t>MN-32</t>
  </si>
  <si>
    <t>MN-33</t>
  </si>
  <si>
    <t>MN-34</t>
  </si>
  <si>
    <t>MN-35</t>
  </si>
  <si>
    <t>MN-41</t>
  </si>
  <si>
    <t>MN-42</t>
  </si>
  <si>
    <t>MN-01</t>
  </si>
  <si>
    <t>MN-40</t>
  </si>
  <si>
    <t>MN-47</t>
  </si>
  <si>
    <t>MN-48</t>
  </si>
  <si>
    <t>MN-45</t>
  </si>
  <si>
    <t>MN-43</t>
  </si>
  <si>
    <t>MN-46</t>
  </si>
  <si>
    <t>MN-07</t>
  </si>
  <si>
    <t>MN-03</t>
  </si>
  <si>
    <t>MN-20</t>
  </si>
  <si>
    <t>MN-50</t>
  </si>
  <si>
    <t>MN-02</t>
  </si>
  <si>
    <t>MN-44</t>
  </si>
  <si>
    <t>MN-21</t>
  </si>
  <si>
    <t>MN-24</t>
  </si>
  <si>
    <t>MN-18</t>
  </si>
  <si>
    <t>MN-04</t>
  </si>
  <si>
    <t>MN-39</t>
  </si>
  <si>
    <t>MN-23</t>
  </si>
  <si>
    <t>MN-49</t>
  </si>
  <si>
    <t>MN-11</t>
  </si>
  <si>
    <t>MN-08</t>
  </si>
  <si>
    <t>MN-09</t>
  </si>
  <si>
    <t>MN-36</t>
  </si>
  <si>
    <t>MN-10</t>
  </si>
  <si>
    <t>MN-31</t>
  </si>
  <si>
    <t>MN-06</t>
  </si>
  <si>
    <t>MN-05</t>
  </si>
  <si>
    <t>MN-38</t>
  </si>
  <si>
    <t>Avg_Competitor_Price</t>
  </si>
  <si>
    <t>Lowest_Competitor_Price</t>
  </si>
  <si>
    <t>Highest_Competitor_Price</t>
  </si>
  <si>
    <t>Competitor_Count</t>
  </si>
  <si>
    <t>$36.90</t>
  </si>
  <si>
    <t>$23.90</t>
  </si>
  <si>
    <t>$28.90</t>
  </si>
  <si>
    <t>$22.90</t>
  </si>
  <si>
    <t>$26.90</t>
  </si>
  <si>
    <t>$29.90</t>
  </si>
  <si>
    <t>$38.90</t>
  </si>
  <si>
    <t>$16.90</t>
  </si>
  <si>
    <t>$21.90</t>
  </si>
  <si>
    <t>$14.90</t>
  </si>
  <si>
    <t>$33.90</t>
  </si>
  <si>
    <t>$34.90</t>
  </si>
  <si>
    <t>$32.90</t>
  </si>
  <si>
    <t>$24.90</t>
  </si>
  <si>
    <t>$31.90</t>
  </si>
  <si>
    <t>$19.90</t>
  </si>
  <si>
    <t>Total Order Items</t>
  </si>
  <si>
    <t>condition</t>
  </si>
  <si>
    <t>total-inventory</t>
  </si>
  <si>
    <t>available</t>
  </si>
  <si>
    <t>inv-age-0-to-30-days</t>
  </si>
  <si>
    <t>inv-age-31-to-60-days</t>
  </si>
  <si>
    <t>inv-age-61-to-90-days</t>
  </si>
  <si>
    <t>inv-age-181-to-330-days</t>
  </si>
  <si>
    <t>inv-age-331-to-365-days</t>
  </si>
  <si>
    <t>inv-age-365-plus-days</t>
  </si>
  <si>
    <t>currency</t>
  </si>
  <si>
    <t>units-shipped-t7</t>
  </si>
  <si>
    <t>units-shipped-t30</t>
  </si>
  <si>
    <t>units-shipped-t60</t>
  </si>
  <si>
    <t>units-shipped-t90</t>
  </si>
  <si>
    <t>sell-through</t>
  </si>
  <si>
    <t>item-volume</t>
  </si>
  <si>
    <t>volume-unit-measurement</t>
  </si>
  <si>
    <t>storage-type</t>
  </si>
  <si>
    <t>storage-volume</t>
  </si>
  <si>
    <t>marketplace</t>
  </si>
  <si>
    <t>days-of-supply</t>
  </si>
  <si>
    <t>weeks-of-cover-t30</t>
  </si>
  <si>
    <t>weeks-of-cover-t90</t>
  </si>
  <si>
    <t>New</t>
  </si>
  <si>
    <t>cubic feet</t>
  </si>
  <si>
    <t>Standard</t>
  </si>
  <si>
    <t>US</t>
  </si>
  <si>
    <t>Oversize</t>
  </si>
  <si>
    <t>Return Quantity 
(Last 30 days)</t>
  </si>
  <si>
    <t>Product_description</t>
  </si>
  <si>
    <t>Product Role</t>
  </si>
  <si>
    <t>Country_of_Origin</t>
  </si>
  <si>
    <t>FBA Fee</t>
  </si>
  <si>
    <t>Storage Fee</t>
  </si>
  <si>
    <t>Handling_Cost</t>
  </si>
  <si>
    <t>Cost</t>
  </si>
  <si>
    <t>Current_Price</t>
  </si>
  <si>
    <t>Minimum_Acceptable_Margin_%</t>
  </si>
  <si>
    <t>Target_Gross_Margin_%</t>
  </si>
  <si>
    <t>Rectangle Tray -14 x 10 Inch - Pk of  25</t>
  </si>
  <si>
    <t>Core</t>
  </si>
  <si>
    <t>India</t>
  </si>
  <si>
    <t>Rectangle Tray -12x10 - Pk of 25</t>
  </si>
  <si>
    <t>Oval Tray -15x10 Inch - Pk of  25</t>
  </si>
  <si>
    <t>Oval Tray - 13x9 Inch - pk of 25</t>
  </si>
  <si>
    <t>Christmas Tray - 17x12 Inch - Pk of 5</t>
  </si>
  <si>
    <t>Seasonal</t>
  </si>
  <si>
    <t>Star Tray - 14 Inch - Pk of 5</t>
  </si>
  <si>
    <t>$14.95</t>
  </si>
  <si>
    <t>15 Round plate - pk of 10</t>
  </si>
  <si>
    <t>10 Inch Heart Plates - pk of 25</t>
  </si>
  <si>
    <t>6 Inch Heart Plates - pk of 25</t>
  </si>
  <si>
    <t>9x6 Rectangle - pk of 25</t>
  </si>
  <si>
    <t>Oval Tray - 13x9 Inch - pk of 10</t>
  </si>
  <si>
    <t>13 inch Round DEEP plate - pk of 10</t>
  </si>
  <si>
    <t>14 inch Round DEEP plate - Pk of 10</t>
  </si>
  <si>
    <t>12 inch Round plate - Pk of 25</t>
  </si>
  <si>
    <t>Rectangle Tray -14x10 Inch - Pk of  10</t>
  </si>
  <si>
    <t>Oval Tray -15x10 Inch - Pk of  10</t>
  </si>
  <si>
    <t>Square Combo 10 &amp; 7 inch - Pk of 50</t>
  </si>
  <si>
    <t>Round Combo 10 &amp; 7 inch - Pk of 50</t>
  </si>
  <si>
    <t>Oval Tray - 22x12 Inch - Pk of 10</t>
  </si>
  <si>
    <t>3.5 Inch round Bowl - Pk of 25</t>
  </si>
  <si>
    <t>$11.90</t>
  </si>
  <si>
    <t>11 x 7 Rectangle - Pk of 25</t>
  </si>
  <si>
    <t>13 inch Round plate - Pk of 10</t>
  </si>
  <si>
    <t>$20.90</t>
  </si>
  <si>
    <t>2.5 Inch round Bowl - 25 ml - Pk of 25</t>
  </si>
  <si>
    <t>$9.95</t>
  </si>
  <si>
    <t>Rectangle Tray -12x10 - pk of 10</t>
  </si>
  <si>
    <t>10 inch square -  pk of 50</t>
  </si>
  <si>
    <t>8 inch square -  pk of 50</t>
  </si>
  <si>
    <t>7 inch square -  pk of 50</t>
  </si>
  <si>
    <t>6 inch square -  pk of 50</t>
  </si>
  <si>
    <t>4 inch square -  pk of 50</t>
  </si>
  <si>
    <t>10 inch Round- pk of 50</t>
  </si>
  <si>
    <t>8 Round -  pk of 50</t>
  </si>
  <si>
    <t>7 Round -  pk of 50</t>
  </si>
  <si>
    <t>6 Round -  pk of 50</t>
  </si>
  <si>
    <t>$25.90</t>
  </si>
  <si>
    <t>9 Square - pk of 50</t>
  </si>
  <si>
    <t>9 Round -  pk of 50</t>
  </si>
  <si>
    <t>17x12 - Oval Tray - pk of 10</t>
  </si>
  <si>
    <t>11 Square - pk of 25</t>
  </si>
  <si>
    <t>2.5 Round Bowl -  pk of 100</t>
  </si>
  <si>
    <t>5 inch square -  pk of 50</t>
  </si>
  <si>
    <t>6 inch square -  pk of 200</t>
  </si>
  <si>
    <t>$78.90</t>
  </si>
  <si>
    <t>4 inch square -  pk of 200</t>
  </si>
  <si>
    <t>$73.90</t>
  </si>
  <si>
    <t>3.5 Square Bowl -  Pk of 25</t>
  </si>
  <si>
    <t>$13.90</t>
  </si>
  <si>
    <t>2.5 Square Bowl - Pk of 25</t>
  </si>
  <si>
    <t>3.5 Square Bowl -  Pk of 100</t>
  </si>
  <si>
    <t>2.5 Square Bowl - Pk of 100</t>
  </si>
  <si>
    <t>5 inch square -  pk of 200</t>
  </si>
  <si>
    <t>$76.90</t>
  </si>
  <si>
    <t>7 Square -  pk of 200</t>
  </si>
  <si>
    <t>$89.90</t>
  </si>
  <si>
    <t>11 x 7 Rectangle -  pk of 50</t>
  </si>
  <si>
    <t>9x6 Rectangle - pk of 50</t>
  </si>
  <si>
    <t>Total_Sessions</t>
  </si>
  <si>
    <t>Total Page Views</t>
  </si>
  <si>
    <t>Total Units Ordered</t>
  </si>
  <si>
    <t>Total Sales</t>
  </si>
  <si>
    <t>Conversion_Rate</t>
  </si>
  <si>
    <t>Total_Impressions</t>
  </si>
  <si>
    <t>Total_Clicks</t>
  </si>
  <si>
    <t>Total_Ad_Spend</t>
  </si>
  <si>
    <t>Total_Ad_Sales</t>
  </si>
  <si>
    <t>ACOS</t>
  </si>
  <si>
    <t>Total_Fees</t>
  </si>
  <si>
    <t>Base_Cost</t>
  </si>
  <si>
    <t>Min_Price</t>
  </si>
  <si>
    <t>CustTarget_Price</t>
  </si>
  <si>
    <t>Inventory_Status</t>
  </si>
  <si>
    <t>Overstock</t>
  </si>
  <si>
    <t>Low Stock</t>
  </si>
  <si>
    <t>Healthy</t>
  </si>
  <si>
    <t>High_Returns_Flag</t>
  </si>
  <si>
    <t>Normal</t>
  </si>
  <si>
    <t>Target_Price</t>
  </si>
  <si>
    <t>Total_Units_Ordered</t>
  </si>
  <si>
    <t>Days_of_Supply</t>
  </si>
  <si>
    <t>Returns_30D</t>
  </si>
  <si>
    <t>Pricing_Decision</t>
  </si>
  <si>
    <t>Recommended_Price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</si>
</sst>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2F0CAA-D900-4260-82AC-B6880268D898}" autoFormatId="16" applyNumberFormats="0" applyBorderFormats="0" applyFontFormats="0" applyPatternFormats="0" applyAlignmentFormats="0" applyWidthHeightFormats="0">
  <queryTableRefresh nextId="33">
    <queryTableFields count="6">
      <queryTableField id="31" name="SKU" tableColumnId="3"/>
      <queryTableField id="26" name="Total_Impressions" tableColumnId="1"/>
      <queryTableField id="27" name="Total_Clicks" tableColumnId="2"/>
      <queryTableField id="28" name="Total_Ad_Spend" tableColumnId="4"/>
      <queryTableField id="29" name="Total_Ad_Sales" tableColumnId="5"/>
      <queryTableField id="30" name="ACO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1CAFAA-1B2A-44EE-AD7C-E2B5CC8C9A66}" autoFormatId="16" applyNumberFormats="0" applyBorderFormats="0" applyFontFormats="0" applyPatternFormats="0" applyAlignmentFormats="0" applyWidthHeightFormats="0">
  <queryTableRefresh nextId="6">
    <queryTableFields count="5">
      <queryTableField id="1" name="SKU" tableColumnId="1"/>
      <queryTableField id="2" name="Avg_Competitor_Price" tableColumnId="2"/>
      <queryTableField id="3" name="Lowest_Competitor_Price" tableColumnId="3"/>
      <queryTableField id="4" name="Highest_Competitor_Price" tableColumnId="4"/>
      <queryTableField id="5" name="Competitor_C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86FF8A2-3FB3-4731-A86A-96EDDC2610C0}" autoFormatId="16" applyNumberFormats="0" applyBorderFormats="0" applyFontFormats="0" applyPatternFormats="0" applyAlignmentFormats="0" applyWidthHeightFormats="0">
  <queryTableRefresh nextId="17">
    <queryTableFields count="7">
      <queryTableField id="2" name="SKU" tableColumnId="2"/>
      <queryTableField id="8" name="Total_Sessions" tableColumnId="8"/>
      <queryTableField id="9" name="Total Page Views" tableColumnId="9"/>
      <queryTableField id="10" name="Total Units Ordered" tableColumnId="10"/>
      <queryTableField id="11" name="Total Sales" tableColumnId="11"/>
      <queryTableField id="7" name="Total Order Items" tableColumnId="7"/>
      <queryTableField id="12" name="Conversion_Rat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FA996B7-18E3-46F8-B247-465F9A9D6F81}" autoFormatId="16" applyNumberFormats="0" applyBorderFormats="0" applyFontFormats="0" applyPatternFormats="0" applyAlignmentFormats="0" applyWidthHeightFormats="0">
  <queryTableRefresh nextId="30">
    <queryTableFields count="25">
      <queryTableField id="1" name="SKU" tableColumnId="1"/>
      <queryTableField id="2" name="condition" tableColumnId="2"/>
      <queryTableField id="3" name="total-inventory" tableColumnId="3"/>
      <queryTableField id="4" name="available" tableColumnId="4"/>
      <queryTableField id="9" name="inv-age-0-to-30-days" tableColumnId="9"/>
      <queryTableField id="10" name="inv-age-31-to-60-days" tableColumnId="10"/>
      <queryTableField id="11" name="inv-age-61-to-90-days" tableColumnId="11"/>
      <queryTableField id="12" name="inv-age-181-to-330-days" tableColumnId="12"/>
      <queryTableField id="13" name="inv-age-331-to-365-days" tableColumnId="13"/>
      <queryTableField id="14" name="inv-age-365-plus-days" tableColumnId="14"/>
      <queryTableField id="15" name="currency" tableColumnId="15"/>
      <queryTableField id="16" name="units-shipped-t7" tableColumnId="16"/>
      <queryTableField id="17" name="units-shipped-t30" tableColumnId="17"/>
      <queryTableField id="18" name="units-shipped-t60" tableColumnId="18"/>
      <queryTableField id="19" name="units-shipped-t90" tableColumnId="19"/>
      <queryTableField id="20" name="sell-through" tableColumnId="20"/>
      <queryTableField id="21" name="item-volume" tableColumnId="21"/>
      <queryTableField id="22" name="volume-unit-measurement" tableColumnId="22"/>
      <queryTableField id="23" name="storage-type" tableColumnId="23"/>
      <queryTableField id="24" name="storage-volume" tableColumnId="24"/>
      <queryTableField id="25" name="marketplace" tableColumnId="25"/>
      <queryTableField id="26" name="days-of-supply" tableColumnId="26"/>
      <queryTableField id="27" name="weeks-of-cover-t30" tableColumnId="27"/>
      <queryTableField id="28" name="weeks-of-cover-t90" tableColumnId="28"/>
      <queryTableField id="29" name="Inventory_Statu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82D32A9-50BD-4112-96AF-C9A1BFC6FEDA}" autoFormatId="16" applyNumberFormats="0" applyBorderFormats="0" applyFontFormats="0" applyPatternFormats="0" applyAlignmentFormats="0" applyWidthHeightFormats="0">
  <queryTableRefresh nextId="7">
    <queryTableFields count="3">
      <queryTableField id="1" name="SKU" tableColumnId="1"/>
      <queryTableField id="3" name="Return Quantity _x000a_(Last 30 days)" tableColumnId="3"/>
      <queryTableField id="6" name="High_Returns_Flag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579E64E-8FC6-4336-ABAA-3FB5B728E4C6}" autoFormatId="16" applyNumberFormats="0" applyBorderFormats="0" applyFontFormats="0" applyPatternFormats="0" applyAlignmentFormats="0" applyWidthHeightFormats="0">
  <queryTableRefresh nextId="16">
    <queryTableFields count="15">
      <queryTableField id="1" name="SKU" tableColumnId="1"/>
      <queryTableField id="2" name="Product_description" tableColumnId="2"/>
      <queryTableField id="3" name="Product Role" tableColumnId="3"/>
      <queryTableField id="4" name="Country_of_Origin" tableColumnId="4"/>
      <queryTableField id="5" name="FBA Fee" tableColumnId="5"/>
      <queryTableField id="6" name="Storage Fee" tableColumnId="6"/>
      <queryTableField id="7" name="Handling_Cost" tableColumnId="7"/>
      <queryTableField id="8" name="Cost" tableColumnId="8"/>
      <queryTableField id="9" name="Current_Price" tableColumnId="9"/>
      <queryTableField id="10" name="Minimum_Acceptable_Margin_%" tableColumnId="10"/>
      <queryTableField id="11" name="Target_Gross_Margin_%" tableColumnId="11"/>
      <queryTableField id="12" name="Total_Fees" tableColumnId="12"/>
      <queryTableField id="13" name="Base_Cost" tableColumnId="13"/>
      <queryTableField id="14" name="Min_Price" tableColumnId="14"/>
      <queryTableField id="15" name="CustTarget_Pric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C90C7-D12F-4222-921D-B9E788DB7691}" name="Ads_Performance" displayName="Ads_Performance" ref="A1:F51" tableType="queryTable" totalsRowShown="0">
  <autoFilter ref="A1:F51" xr:uid="{779C90C7-D12F-4222-921D-B9E788DB7691}"/>
  <tableColumns count="6">
    <tableColumn id="3" xr3:uid="{DEE83A54-7404-444B-A8A3-9111E3EFD12C}" uniqueName="3" name="SKU" queryTableFieldId="31" dataDxfId="21"/>
    <tableColumn id="1" xr3:uid="{B6444C9D-BD54-40AC-94A5-2B8A74A40972}" uniqueName="1" name="Total_Impressions" queryTableFieldId="26"/>
    <tableColumn id="2" xr3:uid="{483E8C64-AC07-45B7-BD0C-15576B5616D7}" uniqueName="2" name="Total_Clicks" queryTableFieldId="27"/>
    <tableColumn id="4" xr3:uid="{707CF679-6F90-4B42-8E24-992D44C44411}" uniqueName="4" name="Total_Ad_Spend" queryTableFieldId="28"/>
    <tableColumn id="5" xr3:uid="{9CA09B09-1BB4-4FF3-A3C1-3B0282222551}" uniqueName="5" name="Total_Ad_Sales" queryTableFieldId="29"/>
    <tableColumn id="6" xr3:uid="{E13A93F6-2B06-402D-87D1-A5E706556810}" uniqueName="6" name="ACOS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0B8AAF-6D8F-4DBF-BF7A-0B410E87334A}" name="Competitor_Data" displayName="Competitor_Data" ref="A1:E51" tableType="queryTable" totalsRowShown="0">
  <autoFilter ref="A1:E51" xr:uid="{1C0B8AAF-6D8F-4DBF-BF7A-0B410E87334A}"/>
  <tableColumns count="5">
    <tableColumn id="1" xr3:uid="{B2FEA173-0C17-42AF-A5A7-29AF6ECDB7DA}" uniqueName="1" name="SKU" queryTableFieldId="1" dataDxfId="20"/>
    <tableColumn id="2" xr3:uid="{5F97EE82-306B-4D26-8C55-1E52CE32F9A4}" uniqueName="2" name="Avg_Competitor_Price" queryTableFieldId="2" dataDxfId="19"/>
    <tableColumn id="3" xr3:uid="{291CDDB6-F44C-4515-8D53-271D2D91ADD5}" uniqueName="3" name="Lowest_Competitor_Price" queryTableFieldId="3" dataDxfId="18"/>
    <tableColumn id="4" xr3:uid="{DFD0E191-330F-4896-98C0-B101A9360B77}" uniqueName="4" name="Highest_Competitor_Price" queryTableFieldId="4" dataDxfId="17"/>
    <tableColumn id="5" xr3:uid="{CFEEC763-FD4C-4876-A79E-D411A80AF359}" uniqueName="5" name="Competitor_Cou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3EA19-BAE6-4DC1-9609-7F32D968409F}" name="Historical_Sales" displayName="Historical_Sales" ref="A1:G51" tableType="queryTable" totalsRowShown="0">
  <autoFilter ref="A1:G51" xr:uid="{8DE3EA19-BAE6-4DC1-9609-7F32D968409F}"/>
  <tableColumns count="7">
    <tableColumn id="2" xr3:uid="{320DB923-9DED-4B24-9626-3F17C140BE1A}" uniqueName="2" name="SKU" queryTableFieldId="2" dataDxfId="16"/>
    <tableColumn id="8" xr3:uid="{D44CABE5-9E6D-4E3D-8F6A-0D3A254C4611}" uniqueName="8" name="Total_Sessions" queryTableFieldId="8"/>
    <tableColumn id="9" xr3:uid="{18DCC0B8-14F3-489C-9C6C-8BD30FB6AF78}" uniqueName="9" name="Total Page Views" queryTableFieldId="9"/>
    <tableColumn id="10" xr3:uid="{44C87F5B-8281-4983-959C-F10F9197A336}" uniqueName="10" name="Total Units Ordered" queryTableFieldId="10"/>
    <tableColumn id="11" xr3:uid="{FEE424F6-24F1-4272-9B5C-B60763EF2A8A}" uniqueName="11" name="Total Sales" queryTableFieldId="11"/>
    <tableColumn id="7" xr3:uid="{F1815467-E24C-43E2-BFF7-C49969293DE2}" uniqueName="7" name="Total Order Items" queryTableFieldId="7"/>
    <tableColumn id="12" xr3:uid="{0E2AE1D7-7A45-4E06-9842-2370986435F8}" uniqueName="12" name="Conversion_Rate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AB7A8A-02E8-4D25-B065-31F73D8348A3}" name="Inventory_Health" displayName="Inventory_Health" ref="A1:Y51" tableType="queryTable" totalsRowShown="0">
  <autoFilter ref="A1:Y51" xr:uid="{D0AB7A8A-02E8-4D25-B065-31F73D8348A3}"/>
  <tableColumns count="25">
    <tableColumn id="1" xr3:uid="{7F7DC7D1-8EAF-47D3-AB86-966DE6CDFB09}" uniqueName="1" name="SKU" queryTableFieldId="1" dataDxfId="15"/>
    <tableColumn id="2" xr3:uid="{7E008B0C-D4B4-4377-81C5-8FB61CE83630}" uniqueName="2" name="condition" queryTableFieldId="2" dataDxfId="14"/>
    <tableColumn id="3" xr3:uid="{BA202720-E8D9-438C-B56F-0A36DB0A106F}" uniqueName="3" name="total-inventory" queryTableFieldId="3"/>
    <tableColumn id="4" xr3:uid="{8C8D0F2C-B081-45CC-9C3B-C219D95EF78A}" uniqueName="4" name="available" queryTableFieldId="4"/>
    <tableColumn id="9" xr3:uid="{1399311A-102D-461D-B697-4E81B4177CA7}" uniqueName="9" name="inv-age-0-to-30-days" queryTableFieldId="9"/>
    <tableColumn id="10" xr3:uid="{BF3783E4-64D4-4261-8894-CA2212000C52}" uniqueName="10" name="inv-age-31-to-60-days" queryTableFieldId="10"/>
    <tableColumn id="11" xr3:uid="{F2C8CC14-788C-4778-A5F7-6B37EB9B99AC}" uniqueName="11" name="inv-age-61-to-90-days" queryTableFieldId="11"/>
    <tableColumn id="12" xr3:uid="{94FA6F3E-FC0F-4C64-A369-AD6A113AC041}" uniqueName="12" name="inv-age-181-to-330-days" queryTableFieldId="12"/>
    <tableColumn id="13" xr3:uid="{5FA081B4-FDBB-47A4-B643-36E4DE57FC11}" uniqueName="13" name="inv-age-331-to-365-days" queryTableFieldId="13"/>
    <tableColumn id="14" xr3:uid="{D162EAB6-F4C2-441D-B7EC-3C5F42D09125}" uniqueName="14" name="inv-age-365-plus-days" queryTableFieldId="14"/>
    <tableColumn id="15" xr3:uid="{73E793BA-30C2-439A-9DBF-7DC83FB0EB04}" uniqueName="15" name="currency" queryTableFieldId="15" dataDxfId="13"/>
    <tableColumn id="16" xr3:uid="{A0DD5EEF-C99C-4A89-954E-143AC78B0C67}" uniqueName="16" name="units-shipped-t7" queryTableFieldId="16"/>
    <tableColumn id="17" xr3:uid="{2BCE883E-A8F1-4C78-830D-70F81FEE70AA}" uniqueName="17" name="units-shipped-t30" queryTableFieldId="17"/>
    <tableColumn id="18" xr3:uid="{5DE7F794-92B8-48C7-B681-FE84D2657D69}" uniqueName="18" name="units-shipped-t60" queryTableFieldId="18"/>
    <tableColumn id="19" xr3:uid="{2CD8BD5C-5CB1-4DF8-9B0A-EAD34BD550A6}" uniqueName="19" name="units-shipped-t90" queryTableFieldId="19"/>
    <tableColumn id="20" xr3:uid="{A43FBAAB-6910-48DE-A70B-9A3A55A77001}" uniqueName="20" name="sell-through" queryTableFieldId="20"/>
    <tableColumn id="21" xr3:uid="{519400DF-0D5A-44EE-9C01-7FC53A9FCCDA}" uniqueName="21" name="item-volume" queryTableFieldId="21"/>
    <tableColumn id="22" xr3:uid="{B78044C8-C9E3-479F-976D-B62B5B699F0D}" uniqueName="22" name="volume-unit-measurement" queryTableFieldId="22" dataDxfId="12"/>
    <tableColumn id="23" xr3:uid="{CCA3CE2F-CDDA-4BB8-A206-864804F2CD31}" uniqueName="23" name="storage-type" queryTableFieldId="23" dataDxfId="11"/>
    <tableColumn id="24" xr3:uid="{961B7A44-27F2-4F9C-BCA9-2FEB332FE906}" uniqueName="24" name="storage-volume" queryTableFieldId="24"/>
    <tableColumn id="25" xr3:uid="{3567A467-81C6-4BFE-A842-F34D196DD0F0}" uniqueName="25" name="marketplace" queryTableFieldId="25" dataDxfId="10"/>
    <tableColumn id="26" xr3:uid="{5C233FCF-5331-4A31-9173-91E1ACF373AC}" uniqueName="26" name="days-of-supply" queryTableFieldId="26"/>
    <tableColumn id="27" xr3:uid="{37364B96-36C0-4964-A965-798150EF0475}" uniqueName="27" name="weeks-of-cover-t30" queryTableFieldId="27"/>
    <tableColumn id="28" xr3:uid="{947A235A-E264-4203-8A7B-9C871C8B8470}" uniqueName="28" name="weeks-of-cover-t90" queryTableFieldId="28"/>
    <tableColumn id="5" xr3:uid="{FA402248-B6D5-4D6C-B70D-B7DE95F21997}" uniqueName="5" name="Inventory_Status" queryTableField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7CF1CB-A43C-49E0-B5B0-1F12F370A926}" name="Returns_Data" displayName="Returns_Data" ref="A1:C51" tableType="queryTable" totalsRowShown="0">
  <autoFilter ref="A1:C51" xr:uid="{3C7CF1CB-A43C-49E0-B5B0-1F12F370A926}"/>
  <tableColumns count="3">
    <tableColumn id="1" xr3:uid="{054D5BF5-471A-4AAE-96A0-A867DA17DD00}" uniqueName="1" name="SKU" queryTableFieldId="1" dataDxfId="9"/>
    <tableColumn id="3" xr3:uid="{6A3560DB-1332-48AF-AF1D-C7F74F9EA1D3}" uniqueName="3" name="Return Quantity _x000a_(Last 30 days)" queryTableFieldId="3"/>
    <tableColumn id="2" xr3:uid="{4ECBB605-374E-447B-B82A-9994AC10C8A2}" uniqueName="2" name="High_Returns_Flag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E7E0ED-C98C-4EE9-9796-0B0592115FA9}" name="Pricing_Data" displayName="Pricing_Data" ref="A1:O50" tableType="queryTable" totalsRowShown="0">
  <autoFilter ref="A1:O50" xr:uid="{3AE7E0ED-C98C-4EE9-9796-0B0592115FA9}"/>
  <tableColumns count="15">
    <tableColumn id="1" xr3:uid="{2C38BB0C-BF03-44A0-B644-366781416504}" uniqueName="1" name="SKU" queryTableFieldId="1" dataDxfId="8"/>
    <tableColumn id="2" xr3:uid="{FC4612FC-521F-4E2E-8292-EF4ED8DE5831}" uniqueName="2" name="Product_description" queryTableFieldId="2" dataDxfId="7"/>
    <tableColumn id="3" xr3:uid="{4F026537-B082-4A61-8AB0-B628A8B0C487}" uniqueName="3" name="Product Role" queryTableFieldId="3" dataDxfId="6"/>
    <tableColumn id="4" xr3:uid="{E3B32E0F-48AB-48C1-957C-934A54DA50E7}" uniqueName="4" name="Country_of_Origin" queryTableFieldId="4" dataDxfId="5"/>
    <tableColumn id="5" xr3:uid="{CD501C86-F270-4C39-AC94-651126216C5D}" uniqueName="5" name="FBA Fee" queryTableFieldId="5" dataDxfId="4"/>
    <tableColumn id="6" xr3:uid="{5B03B02E-38C2-47B8-869E-3D4F5A30EBF1}" uniqueName="6" name="Storage Fee" queryTableFieldId="6" dataDxfId="3"/>
    <tableColumn id="7" xr3:uid="{854DA2CA-5619-4BEC-9926-748469639A6E}" uniqueName="7" name="Handling_Cost" queryTableFieldId="7" dataDxfId="2"/>
    <tableColumn id="8" xr3:uid="{A482E139-8B0E-486E-9249-76BF8444D420}" uniqueName="8" name="Cost" queryTableFieldId="8" dataDxfId="1"/>
    <tableColumn id="9" xr3:uid="{DE9C0A14-37B4-43A9-A182-FDFB049961E1}" uniqueName="9" name="Current_Price" queryTableFieldId="9" dataDxfId="0"/>
    <tableColumn id="10" xr3:uid="{6E6F0E0B-C472-497E-8B5E-A265A5DB01D8}" uniqueName="10" name="Minimum_Acceptable_Margin_%" queryTableFieldId="10"/>
    <tableColumn id="11" xr3:uid="{9094BB15-B68B-45DE-A45E-C6A6EA0D12AC}" uniqueName="11" name="Target_Gross_Margin_%" queryTableFieldId="11"/>
    <tableColumn id="12" xr3:uid="{C6F029D7-11E4-4953-95CF-3109871F026C}" uniqueName="12" name="Total_Fees" queryTableFieldId="12"/>
    <tableColumn id="13" xr3:uid="{45FC3EDE-174B-4EA1-8D63-4DB10C3100C1}" uniqueName="13" name="Base_Cost" queryTableFieldId="13"/>
    <tableColumn id="14" xr3:uid="{E28C9907-CF22-474F-9262-A4BF6169BA70}" uniqueName="14" name="Min_Price" queryTableFieldId="14"/>
    <tableColumn id="15" xr3:uid="{4AD3FE40-815E-401E-BCC4-78C4A79E89C7}" uniqueName="15" name="CustTarget_Pric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DE4C-187A-4851-AE2B-3EB813F5FBCA}">
  <dimension ref="A1:F51"/>
  <sheetViews>
    <sheetView workbookViewId="0">
      <selection sqref="A1:F2850"/>
    </sheetView>
  </sheetViews>
  <sheetFormatPr defaultRowHeight="14.4" x14ac:dyDescent="0.3"/>
  <cols>
    <col min="1" max="1" width="6.6640625" bestFit="1" customWidth="1"/>
    <col min="2" max="2" width="18.5546875" bestFit="1" customWidth="1"/>
    <col min="3" max="3" width="13.109375" bestFit="1" customWidth="1"/>
    <col min="4" max="4" width="17.21875" bestFit="1" customWidth="1"/>
    <col min="5" max="5" width="16.109375" bestFit="1" customWidth="1"/>
    <col min="6" max="7" width="12" bestFit="1" customWidth="1"/>
    <col min="8" max="8" width="13.109375" bestFit="1" customWidth="1"/>
    <col min="9" max="9" width="7.6640625" bestFit="1" customWidth="1"/>
    <col min="10" max="10" width="7" bestFit="1" customWidth="1"/>
    <col min="11" max="11" width="9.33203125" bestFit="1" customWidth="1"/>
    <col min="12" max="12" width="17.88671875" bestFit="1" customWidth="1"/>
    <col min="13" max="13" width="7" bestFit="1" customWidth="1"/>
    <col min="14" max="14" width="8.33203125" bestFit="1" customWidth="1"/>
    <col min="15" max="15" width="15.44140625" bestFit="1" customWidth="1"/>
    <col min="16" max="17" width="13.77734375" bestFit="1" customWidth="1"/>
    <col min="18" max="19" width="14.77734375" bestFit="1" customWidth="1"/>
    <col min="20" max="21" width="17.88671875" bestFit="1" customWidth="1"/>
    <col min="22" max="23" width="18.88671875" bestFit="1" customWidth="1"/>
    <col min="24" max="25" width="9.33203125" bestFit="1" customWidth="1"/>
    <col min="26" max="27" width="10.33203125" bestFit="1" customWidth="1"/>
    <col min="28" max="28" width="13.77734375" bestFit="1" customWidth="1"/>
    <col min="29" max="29" width="14.77734375" bestFit="1" customWidth="1"/>
    <col min="30" max="30" width="13.5546875" bestFit="1" customWidth="1"/>
    <col min="31" max="31" width="14.5546875" bestFit="1" customWidth="1"/>
  </cols>
  <sheetData>
    <row r="1" spans="1:6" x14ac:dyDescent="0.3">
      <c r="A1" t="s">
        <v>0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</row>
    <row r="2" spans="1:6" x14ac:dyDescent="0.3">
      <c r="A2" t="s">
        <v>1</v>
      </c>
      <c r="B2">
        <v>200933</v>
      </c>
      <c r="C2">
        <v>1338</v>
      </c>
      <c r="D2">
        <v>2293.5600000000009</v>
      </c>
      <c r="E2">
        <v>7931.1499999999987</v>
      </c>
      <c r="F2">
        <v>0.28918378797526223</v>
      </c>
    </row>
    <row r="3" spans="1:6" x14ac:dyDescent="0.3">
      <c r="A3" t="s">
        <v>3</v>
      </c>
      <c r="B3">
        <v>446663</v>
      </c>
      <c r="C3">
        <v>5623</v>
      </c>
      <c r="D3">
        <v>11204.570000000005</v>
      </c>
      <c r="E3">
        <v>35134.43</v>
      </c>
      <c r="F3">
        <v>0.31890570019209091</v>
      </c>
    </row>
    <row r="4" spans="1:6" x14ac:dyDescent="0.3">
      <c r="A4" t="s">
        <v>4</v>
      </c>
      <c r="B4">
        <v>204049</v>
      </c>
      <c r="C4">
        <v>2023</v>
      </c>
      <c r="D4">
        <v>5935.26</v>
      </c>
      <c r="E4">
        <v>18514.629999999994</v>
      </c>
      <c r="F4">
        <v>0.32057135357282335</v>
      </c>
    </row>
    <row r="5" spans="1:6" x14ac:dyDescent="0.3">
      <c r="A5" t="s">
        <v>5</v>
      </c>
      <c r="B5">
        <v>259897</v>
      </c>
      <c r="C5">
        <v>1133</v>
      </c>
      <c r="D5">
        <v>3852.3499999999972</v>
      </c>
      <c r="E5">
        <v>10431.079999999989</v>
      </c>
      <c r="F5">
        <v>0.36931458679254703</v>
      </c>
    </row>
    <row r="6" spans="1:6" x14ac:dyDescent="0.3">
      <c r="A6" t="s">
        <v>6</v>
      </c>
      <c r="B6">
        <v>776060</v>
      </c>
      <c r="C6">
        <v>6396</v>
      </c>
      <c r="D6">
        <v>28107.19</v>
      </c>
      <c r="E6">
        <v>137984.15</v>
      </c>
      <c r="F6">
        <v>0.20369868568237728</v>
      </c>
    </row>
    <row r="7" spans="1:6" x14ac:dyDescent="0.3">
      <c r="A7" t="s">
        <v>7</v>
      </c>
      <c r="B7">
        <v>340607</v>
      </c>
      <c r="C7">
        <v>2783</v>
      </c>
      <c r="D7">
        <v>2782.7899999999986</v>
      </c>
      <c r="E7">
        <v>11427.049999999987</v>
      </c>
      <c r="F7">
        <v>0.2435265444712329</v>
      </c>
    </row>
    <row r="8" spans="1:6" x14ac:dyDescent="0.3">
      <c r="A8" t="s">
        <v>8</v>
      </c>
      <c r="B8">
        <v>81210</v>
      </c>
      <c r="C8">
        <v>857</v>
      </c>
      <c r="D8">
        <v>1646.9499999999998</v>
      </c>
      <c r="E8">
        <v>6086.3700000000026</v>
      </c>
      <c r="F8">
        <v>0.27059643104181952</v>
      </c>
    </row>
    <row r="9" spans="1:6" x14ac:dyDescent="0.3">
      <c r="A9" t="s">
        <v>9</v>
      </c>
      <c r="B9">
        <v>149300</v>
      </c>
      <c r="C9">
        <v>1280</v>
      </c>
      <c r="D9">
        <v>2589.7599999999998</v>
      </c>
      <c r="E9">
        <v>15922.119999999999</v>
      </c>
      <c r="F9">
        <v>0.16265170718472163</v>
      </c>
    </row>
    <row r="10" spans="1:6" x14ac:dyDescent="0.3">
      <c r="A10" t="s">
        <v>10</v>
      </c>
      <c r="B10">
        <v>91210</v>
      </c>
      <c r="C10">
        <v>457</v>
      </c>
      <c r="D10">
        <v>1071.8900000000001</v>
      </c>
      <c r="E10">
        <v>3445.3999999999996</v>
      </c>
      <c r="F10">
        <v>0.31110756370813264</v>
      </c>
    </row>
    <row r="11" spans="1:6" x14ac:dyDescent="0.3">
      <c r="A11" t="s">
        <v>11</v>
      </c>
      <c r="B11">
        <v>149641</v>
      </c>
      <c r="C11">
        <v>959</v>
      </c>
      <c r="D11">
        <v>1436.4299999999994</v>
      </c>
      <c r="E11">
        <v>4443.9500000000016</v>
      </c>
      <c r="F11">
        <v>0.32323270963894707</v>
      </c>
    </row>
    <row r="12" spans="1:6" x14ac:dyDescent="0.3">
      <c r="A12" t="s">
        <v>12</v>
      </c>
      <c r="B12">
        <v>275521</v>
      </c>
      <c r="C12">
        <v>1617</v>
      </c>
      <c r="D12">
        <v>8107.7900000000027</v>
      </c>
      <c r="E12">
        <v>47872.83</v>
      </c>
      <c r="F12">
        <v>0.16936099244602842</v>
      </c>
    </row>
    <row r="13" spans="1:6" x14ac:dyDescent="0.3">
      <c r="A13" t="s">
        <v>13</v>
      </c>
      <c r="B13">
        <v>126221</v>
      </c>
      <c r="C13">
        <v>826</v>
      </c>
      <c r="D13">
        <v>4171.3700000000008</v>
      </c>
      <c r="E13">
        <v>20260.190000000002</v>
      </c>
      <c r="F13">
        <v>0.20588997437832521</v>
      </c>
    </row>
    <row r="14" spans="1:6" x14ac:dyDescent="0.3">
      <c r="A14" t="s">
        <v>14</v>
      </c>
      <c r="B14">
        <v>374026</v>
      </c>
      <c r="C14">
        <v>2803</v>
      </c>
      <c r="D14">
        <v>14448.66</v>
      </c>
      <c r="E14">
        <v>63106.15</v>
      </c>
      <c r="F14">
        <v>0.2289580334087882</v>
      </c>
    </row>
    <row r="15" spans="1:6" x14ac:dyDescent="0.3">
      <c r="A15" t="s">
        <v>15</v>
      </c>
      <c r="B15">
        <v>507797</v>
      </c>
      <c r="C15">
        <v>2843</v>
      </c>
      <c r="D15">
        <v>10098.84</v>
      </c>
      <c r="E15">
        <v>43732.789999999986</v>
      </c>
      <c r="F15">
        <v>0.23092146647858514</v>
      </c>
    </row>
    <row r="16" spans="1:6" x14ac:dyDescent="0.3">
      <c r="A16" t="s">
        <v>16</v>
      </c>
      <c r="B16">
        <v>193340</v>
      </c>
      <c r="C16">
        <v>1444</v>
      </c>
      <c r="D16">
        <v>4762.2700000000004</v>
      </c>
      <c r="E16">
        <v>18221.349999999977</v>
      </c>
      <c r="F16">
        <v>0.26135659542240319</v>
      </c>
    </row>
    <row r="17" spans="1:6" x14ac:dyDescent="0.3">
      <c r="A17" t="s">
        <v>17</v>
      </c>
      <c r="B17">
        <v>167861</v>
      </c>
      <c r="C17">
        <v>753</v>
      </c>
      <c r="D17">
        <v>2911.52</v>
      </c>
      <c r="E17">
        <v>17177.899999999994</v>
      </c>
      <c r="F17">
        <v>0.16949219636858992</v>
      </c>
    </row>
    <row r="18" spans="1:6" x14ac:dyDescent="0.3">
      <c r="A18" t="s">
        <v>18</v>
      </c>
      <c r="B18">
        <v>120014</v>
      </c>
      <c r="C18">
        <v>756</v>
      </c>
      <c r="D18">
        <v>3111.1799999999989</v>
      </c>
      <c r="E18">
        <v>19016.399999999998</v>
      </c>
      <c r="F18">
        <v>0.16360509875686247</v>
      </c>
    </row>
    <row r="19" spans="1:6" x14ac:dyDescent="0.3">
      <c r="A19" t="s">
        <v>19</v>
      </c>
      <c r="B19">
        <v>65691</v>
      </c>
      <c r="C19">
        <v>401</v>
      </c>
      <c r="D19">
        <v>2133.579999999999</v>
      </c>
      <c r="E19">
        <v>10984.63</v>
      </c>
      <c r="F19">
        <v>0.19423321495580637</v>
      </c>
    </row>
    <row r="20" spans="1:6" x14ac:dyDescent="0.3">
      <c r="A20" t="s">
        <v>20</v>
      </c>
      <c r="B20">
        <v>86597</v>
      </c>
      <c r="C20">
        <v>623</v>
      </c>
      <c r="D20">
        <v>1901.1399999999996</v>
      </c>
      <c r="E20">
        <v>9131.4100000000035</v>
      </c>
      <c r="F20">
        <v>0.20819785772405344</v>
      </c>
    </row>
    <row r="21" spans="1:6" x14ac:dyDescent="0.3">
      <c r="A21" t="s">
        <v>21</v>
      </c>
      <c r="B21">
        <v>158875</v>
      </c>
      <c r="C21">
        <v>781</v>
      </c>
      <c r="D21">
        <v>5004.6099999999988</v>
      </c>
      <c r="E21">
        <v>57509.2</v>
      </c>
      <c r="F21">
        <v>8.7022772008652508E-2</v>
      </c>
    </row>
    <row r="22" spans="1:6" x14ac:dyDescent="0.3">
      <c r="A22" t="s">
        <v>22</v>
      </c>
      <c r="B22">
        <v>160537</v>
      </c>
      <c r="C22">
        <v>874</v>
      </c>
      <c r="D22">
        <v>3984.1799999999989</v>
      </c>
      <c r="E22">
        <v>32943.650000000016</v>
      </c>
      <c r="F22">
        <v>0.12093924018741084</v>
      </c>
    </row>
    <row r="23" spans="1:6" x14ac:dyDescent="0.3">
      <c r="A23" t="s">
        <v>23</v>
      </c>
      <c r="B23">
        <v>131593</v>
      </c>
      <c r="C23">
        <v>985</v>
      </c>
      <c r="D23">
        <v>2762.0600000000004</v>
      </c>
      <c r="E23">
        <v>14235.449999999993</v>
      </c>
      <c r="F23">
        <v>0.19402688358991121</v>
      </c>
    </row>
    <row r="24" spans="1:6" x14ac:dyDescent="0.3">
      <c r="A24" t="s">
        <v>24</v>
      </c>
      <c r="B24">
        <v>51489</v>
      </c>
      <c r="C24">
        <v>474</v>
      </c>
      <c r="D24">
        <v>1500.8399999999995</v>
      </c>
      <c r="E24">
        <v>12072.749999999996</v>
      </c>
      <c r="F24">
        <v>0.12431633223582034</v>
      </c>
    </row>
    <row r="25" spans="1:6" x14ac:dyDescent="0.3">
      <c r="A25" t="s">
        <v>25</v>
      </c>
      <c r="B25">
        <v>15387</v>
      </c>
      <c r="C25">
        <v>115</v>
      </c>
      <c r="D25">
        <v>430.25999999999993</v>
      </c>
      <c r="E25">
        <v>4029.0799999999981</v>
      </c>
      <c r="F25">
        <v>0.10678864653965672</v>
      </c>
    </row>
    <row r="26" spans="1:6" x14ac:dyDescent="0.3">
      <c r="A26" t="s">
        <v>26</v>
      </c>
      <c r="B26">
        <v>26507</v>
      </c>
      <c r="C26">
        <v>129</v>
      </c>
      <c r="D26">
        <v>711.91</v>
      </c>
      <c r="E26">
        <v>5943.7199999999975</v>
      </c>
      <c r="F26">
        <v>0.11977515764538038</v>
      </c>
    </row>
    <row r="27" spans="1:6" x14ac:dyDescent="0.3">
      <c r="A27" t="s">
        <v>27</v>
      </c>
      <c r="B27">
        <v>51945</v>
      </c>
      <c r="C27">
        <v>202</v>
      </c>
      <c r="D27">
        <v>603.67000000000007</v>
      </c>
      <c r="E27">
        <v>7179.28</v>
      </c>
      <c r="F27">
        <v>8.4085033596683803E-2</v>
      </c>
    </row>
    <row r="28" spans="1:6" x14ac:dyDescent="0.3">
      <c r="A28" t="s">
        <v>28</v>
      </c>
      <c r="B28">
        <v>127464</v>
      </c>
      <c r="C28">
        <v>608</v>
      </c>
      <c r="D28">
        <v>1608.7499999999998</v>
      </c>
      <c r="E28">
        <v>2627.1299999999987</v>
      </c>
      <c r="F28">
        <v>0.61236025624921508</v>
      </c>
    </row>
    <row r="29" spans="1:6" x14ac:dyDescent="0.3">
      <c r="A29" t="s">
        <v>29</v>
      </c>
      <c r="B29">
        <v>41213</v>
      </c>
      <c r="C29">
        <v>181</v>
      </c>
      <c r="D29">
        <v>356.70000000000005</v>
      </c>
      <c r="E29">
        <v>1535.2</v>
      </c>
      <c r="F29">
        <v>0.23234757686294946</v>
      </c>
    </row>
    <row r="30" spans="1:6" x14ac:dyDescent="0.3">
      <c r="A30" t="s">
        <v>30</v>
      </c>
      <c r="B30">
        <v>219364</v>
      </c>
      <c r="C30">
        <v>1380</v>
      </c>
      <c r="D30">
        <v>1649.7599999999995</v>
      </c>
      <c r="E30">
        <v>9004.0199999999913</v>
      </c>
      <c r="F30">
        <v>0.18322482624427769</v>
      </c>
    </row>
    <row r="31" spans="1:6" x14ac:dyDescent="0.3">
      <c r="A31" t="s">
        <v>31</v>
      </c>
      <c r="B31">
        <v>74652</v>
      </c>
      <c r="C31">
        <v>394</v>
      </c>
      <c r="D31">
        <v>670.19999999999993</v>
      </c>
      <c r="E31">
        <v>3647.8500000000004</v>
      </c>
      <c r="F31">
        <v>0.18372465973107444</v>
      </c>
    </row>
    <row r="32" spans="1:6" x14ac:dyDescent="0.3">
      <c r="A32" t="s">
        <v>32</v>
      </c>
      <c r="B32">
        <v>554777</v>
      </c>
      <c r="C32">
        <v>6413</v>
      </c>
      <c r="D32">
        <v>3297.9199999999964</v>
      </c>
      <c r="E32">
        <v>18881.62999999999</v>
      </c>
      <c r="F32">
        <v>0.1746628866257838</v>
      </c>
    </row>
    <row r="33" spans="1:6" x14ac:dyDescent="0.3">
      <c r="A33" t="s">
        <v>33</v>
      </c>
      <c r="B33">
        <v>190128</v>
      </c>
      <c r="C33">
        <v>1263</v>
      </c>
      <c r="D33">
        <v>1349.1100000000001</v>
      </c>
      <c r="E33">
        <v>8462.6099999999915</v>
      </c>
      <c r="F33">
        <v>0.15942008434750055</v>
      </c>
    </row>
    <row r="34" spans="1:6" x14ac:dyDescent="0.3">
      <c r="A34" t="s">
        <v>34</v>
      </c>
      <c r="B34">
        <v>226158</v>
      </c>
      <c r="C34">
        <v>1298</v>
      </c>
      <c r="D34">
        <v>2286.9199999999996</v>
      </c>
      <c r="E34">
        <v>11626.529999999988</v>
      </c>
      <c r="F34">
        <v>0.19669841302607072</v>
      </c>
    </row>
    <row r="35" spans="1:6" x14ac:dyDescent="0.3">
      <c r="A35" t="s">
        <v>35</v>
      </c>
      <c r="B35">
        <v>47541</v>
      </c>
      <c r="C35">
        <v>225</v>
      </c>
      <c r="D35">
        <v>342.07999999999987</v>
      </c>
      <c r="E35">
        <v>1305.42</v>
      </c>
      <c r="F35">
        <v>0.26204593157757644</v>
      </c>
    </row>
    <row r="36" spans="1:6" x14ac:dyDescent="0.3">
      <c r="A36" t="s">
        <v>36</v>
      </c>
      <c r="B36">
        <v>596126</v>
      </c>
      <c r="C36">
        <v>2909</v>
      </c>
      <c r="D36">
        <v>2934.5099999999993</v>
      </c>
      <c r="E36">
        <v>15708.559999999976</v>
      </c>
      <c r="F36">
        <v>0.18680961208411234</v>
      </c>
    </row>
    <row r="37" spans="1:6" x14ac:dyDescent="0.3">
      <c r="A37" t="s">
        <v>37</v>
      </c>
      <c r="B37">
        <v>564036</v>
      </c>
      <c r="C37">
        <v>3480</v>
      </c>
      <c r="D37">
        <v>3432.3299999999981</v>
      </c>
      <c r="E37">
        <v>13539.509999999982</v>
      </c>
      <c r="F37">
        <v>0.25350474278611285</v>
      </c>
    </row>
    <row r="38" spans="1:6" x14ac:dyDescent="0.3">
      <c r="A38" t="s">
        <v>38</v>
      </c>
      <c r="B38">
        <v>367799</v>
      </c>
      <c r="C38">
        <v>2123</v>
      </c>
      <c r="D38">
        <v>3904.32</v>
      </c>
      <c r="E38">
        <v>18094.619999999977</v>
      </c>
      <c r="F38">
        <v>0.21577242296328991</v>
      </c>
    </row>
    <row r="39" spans="1:6" x14ac:dyDescent="0.3">
      <c r="A39" t="s">
        <v>39</v>
      </c>
      <c r="B39">
        <v>52363</v>
      </c>
      <c r="C39">
        <v>231</v>
      </c>
      <c r="D39">
        <v>903.79</v>
      </c>
      <c r="E39">
        <v>2058.3999999999996</v>
      </c>
      <c r="F39">
        <v>0.43907403808783529</v>
      </c>
    </row>
    <row r="40" spans="1:6" x14ac:dyDescent="0.3">
      <c r="A40" t="s">
        <v>40</v>
      </c>
      <c r="B40">
        <v>44556</v>
      </c>
      <c r="C40">
        <v>212</v>
      </c>
      <c r="D40">
        <v>721.3499999999998</v>
      </c>
      <c r="E40">
        <v>2289.0200000000004</v>
      </c>
      <c r="F40">
        <v>0.31513486120697926</v>
      </c>
    </row>
    <row r="41" spans="1:6" x14ac:dyDescent="0.3">
      <c r="A41" t="s">
        <v>41</v>
      </c>
      <c r="B41">
        <v>124212</v>
      </c>
      <c r="C41">
        <v>1358</v>
      </c>
      <c r="D41">
        <v>1238.3200000000004</v>
      </c>
      <c r="E41">
        <v>6786.5499999999893</v>
      </c>
      <c r="F41">
        <v>0.1824667909320645</v>
      </c>
    </row>
    <row r="42" spans="1:6" x14ac:dyDescent="0.3">
      <c r="A42" t="s">
        <v>42</v>
      </c>
      <c r="B42">
        <v>244778</v>
      </c>
      <c r="C42">
        <v>1450</v>
      </c>
      <c r="D42">
        <v>1430.4499999999998</v>
      </c>
      <c r="E42">
        <v>6316.9499999999898</v>
      </c>
      <c r="F42">
        <v>0.22644630715772676</v>
      </c>
    </row>
    <row r="43" spans="1:6" x14ac:dyDescent="0.3">
      <c r="A43" t="s">
        <v>43</v>
      </c>
      <c r="B43">
        <v>278599</v>
      </c>
      <c r="C43">
        <v>1405</v>
      </c>
      <c r="D43">
        <v>1698.7699999999986</v>
      </c>
      <c r="E43">
        <v>8464.0999999999931</v>
      </c>
      <c r="F43">
        <v>0.20070296901029053</v>
      </c>
    </row>
    <row r="44" spans="1:6" x14ac:dyDescent="0.3">
      <c r="A44" t="s">
        <v>44</v>
      </c>
      <c r="B44">
        <v>41005</v>
      </c>
      <c r="C44">
        <v>199</v>
      </c>
      <c r="D44">
        <v>194.11</v>
      </c>
      <c r="E44">
        <v>1444.0700000000002</v>
      </c>
      <c r="F44">
        <v>0.1344186916146724</v>
      </c>
    </row>
    <row r="45" spans="1:6" x14ac:dyDescent="0.3">
      <c r="A45" t="s">
        <v>45</v>
      </c>
      <c r="B45">
        <v>83058</v>
      </c>
      <c r="C45">
        <v>439</v>
      </c>
      <c r="D45">
        <v>398.62000000000035</v>
      </c>
      <c r="E45">
        <v>1412.5800000000004</v>
      </c>
      <c r="F45">
        <v>0.28219286695266832</v>
      </c>
    </row>
    <row r="46" spans="1:6" x14ac:dyDescent="0.3">
      <c r="A46" t="s">
        <v>46</v>
      </c>
      <c r="B46">
        <v>361721</v>
      </c>
      <c r="C46">
        <v>3372</v>
      </c>
      <c r="D46">
        <v>7892.5399999999972</v>
      </c>
      <c r="E46">
        <v>27173.050000000017</v>
      </c>
      <c r="F46">
        <v>0.29045469684117137</v>
      </c>
    </row>
    <row r="47" spans="1:6" x14ac:dyDescent="0.3">
      <c r="A47" t="s">
        <v>47</v>
      </c>
      <c r="B47">
        <v>122210</v>
      </c>
      <c r="C47">
        <v>690</v>
      </c>
      <c r="D47">
        <v>1142.6499999999999</v>
      </c>
      <c r="E47">
        <v>3648.440000000001</v>
      </c>
      <c r="F47">
        <v>0.3131886504917169</v>
      </c>
    </row>
    <row r="48" spans="1:6" x14ac:dyDescent="0.3">
      <c r="A48" t="s">
        <v>48</v>
      </c>
      <c r="B48">
        <v>207611</v>
      </c>
      <c r="C48">
        <v>689</v>
      </c>
      <c r="D48">
        <v>1670.4299999999994</v>
      </c>
      <c r="E48">
        <v>6043.5699999999988</v>
      </c>
      <c r="F48">
        <v>0.27639789065072462</v>
      </c>
    </row>
    <row r="49" spans="1:6" x14ac:dyDescent="0.3">
      <c r="A49" t="s">
        <v>49</v>
      </c>
      <c r="B49">
        <v>98522</v>
      </c>
      <c r="C49">
        <v>428</v>
      </c>
      <c r="D49">
        <v>968.4599999999997</v>
      </c>
      <c r="E49">
        <v>1880.9600000000003</v>
      </c>
      <c r="F49">
        <v>0.51487538278325939</v>
      </c>
    </row>
    <row r="50" spans="1:6" x14ac:dyDescent="0.3">
      <c r="A50" t="s">
        <v>50</v>
      </c>
      <c r="B50">
        <v>39306</v>
      </c>
      <c r="C50">
        <v>390</v>
      </c>
      <c r="D50">
        <v>637.85</v>
      </c>
      <c r="E50">
        <v>1673.7</v>
      </c>
      <c r="F50">
        <v>0.38110175061241564</v>
      </c>
    </row>
    <row r="51" spans="1:6" x14ac:dyDescent="0.3">
      <c r="A51" t="s">
        <v>51</v>
      </c>
      <c r="B51">
        <v>257618</v>
      </c>
      <c r="C51">
        <v>2281</v>
      </c>
      <c r="D51">
        <v>4601.8999999999996</v>
      </c>
      <c r="E51">
        <v>18146.809999999998</v>
      </c>
      <c r="F51">
        <v>0.25359278021867204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BFF1-D1C5-4FEA-938F-62D0ED009652}">
  <dimension ref="A1:E51"/>
  <sheetViews>
    <sheetView workbookViewId="0">
      <selection sqref="A1:E51"/>
    </sheetView>
  </sheetViews>
  <sheetFormatPr defaultRowHeight="14.4" x14ac:dyDescent="0.3"/>
  <cols>
    <col min="1" max="1" width="6.6640625" bestFit="1" customWidth="1"/>
    <col min="2" max="2" width="22.33203125" bestFit="1" customWidth="1"/>
    <col min="3" max="3" width="25.109375" bestFit="1" customWidth="1"/>
    <col min="4" max="4" width="25.44140625" bestFit="1" customWidth="1"/>
    <col min="5" max="5" width="19" bestFit="1" customWidth="1"/>
  </cols>
  <sheetData>
    <row r="1" spans="1:5" x14ac:dyDescent="0.3">
      <c r="A1" t="s">
        <v>0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3">
      <c r="A2" t="s">
        <v>23</v>
      </c>
      <c r="B2">
        <v>36.9</v>
      </c>
      <c r="C2">
        <v>31.95</v>
      </c>
      <c r="D2">
        <v>44.9</v>
      </c>
      <c r="E2">
        <v>9</v>
      </c>
    </row>
    <row r="3" spans="1:5" x14ac:dyDescent="0.3">
      <c r="A3" t="s">
        <v>34</v>
      </c>
      <c r="B3">
        <v>32.5</v>
      </c>
      <c r="C3">
        <v>27.9</v>
      </c>
      <c r="D3">
        <v>39.950000000000003</v>
      </c>
      <c r="E3">
        <v>8</v>
      </c>
    </row>
    <row r="4" spans="1:5" x14ac:dyDescent="0.3">
      <c r="A4" t="s">
        <v>31</v>
      </c>
      <c r="B4">
        <v>35.200000000000003</v>
      </c>
      <c r="C4">
        <v>29.99</v>
      </c>
      <c r="D4">
        <v>42.5</v>
      </c>
      <c r="E4">
        <v>7</v>
      </c>
    </row>
    <row r="5" spans="1:5" x14ac:dyDescent="0.3">
      <c r="A5" t="s">
        <v>39</v>
      </c>
      <c r="B5">
        <v>28.4</v>
      </c>
      <c r="C5">
        <v>24.5</v>
      </c>
      <c r="D5">
        <v>35.9</v>
      </c>
      <c r="E5">
        <v>6</v>
      </c>
    </row>
    <row r="6" spans="1:5" x14ac:dyDescent="0.3">
      <c r="A6" t="s">
        <v>50</v>
      </c>
      <c r="B6">
        <v>23.9</v>
      </c>
      <c r="C6">
        <v>18.95</v>
      </c>
      <c r="D6">
        <v>0</v>
      </c>
      <c r="E6">
        <v>3</v>
      </c>
    </row>
    <row r="7" spans="1:5" x14ac:dyDescent="0.3">
      <c r="A7" t="s">
        <v>49</v>
      </c>
      <c r="B7">
        <v>15.8</v>
      </c>
      <c r="C7">
        <v>12.99</v>
      </c>
      <c r="D7">
        <v>21.5</v>
      </c>
      <c r="E7">
        <v>4</v>
      </c>
    </row>
    <row r="8" spans="1:5" x14ac:dyDescent="0.3">
      <c r="A8" t="s">
        <v>30</v>
      </c>
      <c r="B8">
        <v>33.5</v>
      </c>
      <c r="C8">
        <v>28.9</v>
      </c>
      <c r="D8">
        <v>41.95</v>
      </c>
      <c r="E8">
        <v>10</v>
      </c>
    </row>
    <row r="9" spans="1:5" x14ac:dyDescent="0.3">
      <c r="A9" t="s">
        <v>44</v>
      </c>
      <c r="B9">
        <v>31.2</v>
      </c>
      <c r="C9">
        <v>25.95</v>
      </c>
      <c r="D9">
        <v>39.9</v>
      </c>
      <c r="E9">
        <v>6</v>
      </c>
    </row>
    <row r="10" spans="1:5" x14ac:dyDescent="0.3">
      <c r="A10" t="s">
        <v>45</v>
      </c>
      <c r="B10">
        <v>15.6</v>
      </c>
      <c r="C10">
        <v>11.99</v>
      </c>
      <c r="D10">
        <v>22.9</v>
      </c>
      <c r="E10">
        <v>5</v>
      </c>
    </row>
    <row r="11" spans="1:5" x14ac:dyDescent="0.3">
      <c r="A11" t="s">
        <v>47</v>
      </c>
      <c r="B11">
        <v>20.5</v>
      </c>
      <c r="C11">
        <v>16.95</v>
      </c>
      <c r="D11">
        <v>26.9</v>
      </c>
      <c r="E11">
        <v>9</v>
      </c>
    </row>
    <row r="12" spans="1:5" x14ac:dyDescent="0.3">
      <c r="A12" t="s">
        <v>43</v>
      </c>
      <c r="B12">
        <v>17.8</v>
      </c>
      <c r="C12">
        <v>14.99</v>
      </c>
      <c r="D12">
        <v>23.5</v>
      </c>
      <c r="E12">
        <v>8</v>
      </c>
    </row>
    <row r="13" spans="1:5" x14ac:dyDescent="0.3">
      <c r="A13" t="s">
        <v>11</v>
      </c>
      <c r="B13">
        <v>21.4</v>
      </c>
      <c r="C13">
        <v>17.95</v>
      </c>
      <c r="D13">
        <v>27.9</v>
      </c>
      <c r="E13">
        <v>9</v>
      </c>
    </row>
    <row r="14" spans="1:5" x14ac:dyDescent="0.3">
      <c r="A14" t="s">
        <v>7</v>
      </c>
      <c r="B14">
        <v>24.2</v>
      </c>
      <c r="C14">
        <v>19.989999999999998</v>
      </c>
      <c r="D14">
        <v>31.5</v>
      </c>
      <c r="E14">
        <v>8</v>
      </c>
    </row>
    <row r="15" spans="1:5" x14ac:dyDescent="0.3">
      <c r="A15" t="s">
        <v>4</v>
      </c>
      <c r="B15">
        <v>27.8</v>
      </c>
      <c r="C15">
        <v>23.95</v>
      </c>
      <c r="D15">
        <v>35.9</v>
      </c>
      <c r="E15">
        <v>7</v>
      </c>
    </row>
    <row r="16" spans="1:5" x14ac:dyDescent="0.3">
      <c r="A16" t="s">
        <v>3</v>
      </c>
      <c r="B16">
        <v>22.4</v>
      </c>
      <c r="C16">
        <v>18.989999999999998</v>
      </c>
      <c r="D16">
        <v>29.9</v>
      </c>
      <c r="E16">
        <v>9</v>
      </c>
    </row>
    <row r="17" spans="1:5" x14ac:dyDescent="0.3">
      <c r="A17" t="s">
        <v>1</v>
      </c>
      <c r="B17">
        <v>20.100000000000001</v>
      </c>
      <c r="C17">
        <v>16.95</v>
      </c>
      <c r="D17">
        <v>26.5</v>
      </c>
      <c r="E17">
        <v>8</v>
      </c>
    </row>
    <row r="18" spans="1:5" x14ac:dyDescent="0.3">
      <c r="A18" t="s">
        <v>5</v>
      </c>
      <c r="B18">
        <v>31.5</v>
      </c>
      <c r="C18">
        <v>26.99</v>
      </c>
      <c r="D18">
        <v>39.9</v>
      </c>
      <c r="E18">
        <v>9</v>
      </c>
    </row>
    <row r="19" spans="1:5" x14ac:dyDescent="0.3">
      <c r="A19" t="s">
        <v>38</v>
      </c>
      <c r="B19">
        <v>28.8</v>
      </c>
      <c r="C19">
        <v>24.5</v>
      </c>
      <c r="D19">
        <v>36.9</v>
      </c>
      <c r="E19">
        <v>8</v>
      </c>
    </row>
    <row r="20" spans="1:5" x14ac:dyDescent="0.3">
      <c r="A20" t="s">
        <v>9</v>
      </c>
      <c r="B20">
        <v>38.9</v>
      </c>
      <c r="C20">
        <v>32.950000000000003</v>
      </c>
      <c r="D20">
        <v>49.9</v>
      </c>
      <c r="E20">
        <v>7</v>
      </c>
    </row>
    <row r="21" spans="1:5" x14ac:dyDescent="0.3">
      <c r="A21" t="s">
        <v>32</v>
      </c>
      <c r="B21">
        <v>12.5</v>
      </c>
      <c r="C21">
        <v>9.99</v>
      </c>
      <c r="D21">
        <v>16.899999999999999</v>
      </c>
      <c r="E21">
        <v>6</v>
      </c>
    </row>
    <row r="22" spans="1:5" x14ac:dyDescent="0.3">
      <c r="A22" t="s">
        <v>36</v>
      </c>
      <c r="B22">
        <v>23.1</v>
      </c>
      <c r="C22">
        <v>18.989999999999998</v>
      </c>
      <c r="D22">
        <v>29.9</v>
      </c>
      <c r="E22">
        <v>8</v>
      </c>
    </row>
    <row r="23" spans="1:5" x14ac:dyDescent="0.3">
      <c r="A23" t="s">
        <v>8</v>
      </c>
      <c r="B23">
        <v>21.9</v>
      </c>
      <c r="C23">
        <v>17.95</v>
      </c>
      <c r="D23">
        <v>27.9</v>
      </c>
      <c r="E23">
        <v>9</v>
      </c>
    </row>
    <row r="24" spans="1:5" x14ac:dyDescent="0.3">
      <c r="A24" t="s">
        <v>41</v>
      </c>
      <c r="B24">
        <v>10.5</v>
      </c>
      <c r="C24">
        <v>8.49</v>
      </c>
      <c r="D24">
        <v>14.9</v>
      </c>
      <c r="E24">
        <v>6</v>
      </c>
    </row>
    <row r="25" spans="1:5" x14ac:dyDescent="0.3">
      <c r="A25" t="s">
        <v>37</v>
      </c>
      <c r="B25">
        <v>20.8</v>
      </c>
      <c r="C25">
        <v>16.95</v>
      </c>
      <c r="D25">
        <v>26.9</v>
      </c>
      <c r="E25">
        <v>8</v>
      </c>
    </row>
    <row r="26" spans="1:5" x14ac:dyDescent="0.3">
      <c r="A26" t="s">
        <v>6</v>
      </c>
      <c r="B26">
        <v>35.5</v>
      </c>
      <c r="C26">
        <v>29.99</v>
      </c>
      <c r="D26">
        <v>44.9</v>
      </c>
      <c r="E26">
        <v>9</v>
      </c>
    </row>
    <row r="27" spans="1:5" x14ac:dyDescent="0.3">
      <c r="A27" t="s">
        <v>12</v>
      </c>
      <c r="B27">
        <v>30.4</v>
      </c>
      <c r="C27">
        <v>25.95</v>
      </c>
      <c r="D27">
        <v>38.9</v>
      </c>
      <c r="E27">
        <v>8</v>
      </c>
    </row>
    <row r="28" spans="1:5" x14ac:dyDescent="0.3">
      <c r="A28" t="s">
        <v>13</v>
      </c>
      <c r="B28">
        <v>29.9</v>
      </c>
      <c r="C28">
        <v>24.99</v>
      </c>
      <c r="D28">
        <v>37.9</v>
      </c>
      <c r="E28">
        <v>8</v>
      </c>
    </row>
    <row r="29" spans="1:5" x14ac:dyDescent="0.3">
      <c r="A29" t="s">
        <v>14</v>
      </c>
      <c r="B29">
        <v>26.2</v>
      </c>
      <c r="C29">
        <v>21.95</v>
      </c>
      <c r="D29">
        <v>33.9</v>
      </c>
      <c r="E29">
        <v>7</v>
      </c>
    </row>
    <row r="30" spans="1:5" x14ac:dyDescent="0.3">
      <c r="A30" t="s">
        <v>15</v>
      </c>
      <c r="B30">
        <v>22.8</v>
      </c>
      <c r="C30">
        <v>18.95</v>
      </c>
      <c r="D30">
        <v>29.9</v>
      </c>
      <c r="E30">
        <v>7</v>
      </c>
    </row>
    <row r="31" spans="1:5" x14ac:dyDescent="0.3">
      <c r="A31" t="s">
        <v>16</v>
      </c>
      <c r="B31">
        <v>36.4</v>
      </c>
      <c r="C31">
        <v>30.99</v>
      </c>
      <c r="D31">
        <v>45.9</v>
      </c>
      <c r="E31">
        <v>9</v>
      </c>
    </row>
    <row r="32" spans="1:5" x14ac:dyDescent="0.3">
      <c r="A32" t="s">
        <v>48</v>
      </c>
      <c r="B32">
        <v>29.8</v>
      </c>
      <c r="C32">
        <v>24.95</v>
      </c>
      <c r="D32">
        <v>37.9</v>
      </c>
      <c r="E32">
        <v>8</v>
      </c>
    </row>
    <row r="33" spans="1:5" x14ac:dyDescent="0.3">
      <c r="A33" t="s">
        <v>17</v>
      </c>
      <c r="B33">
        <v>27.5</v>
      </c>
      <c r="C33">
        <v>22.99</v>
      </c>
      <c r="D33">
        <v>34.9</v>
      </c>
      <c r="E33">
        <v>8</v>
      </c>
    </row>
    <row r="34" spans="1:5" x14ac:dyDescent="0.3">
      <c r="A34" t="s">
        <v>18</v>
      </c>
      <c r="B34">
        <v>0</v>
      </c>
      <c r="C34">
        <v>21.95</v>
      </c>
      <c r="D34">
        <v>33.9</v>
      </c>
      <c r="E34">
        <v>7</v>
      </c>
    </row>
    <row r="35" spans="1:5" x14ac:dyDescent="0.3">
      <c r="A35" t="s">
        <v>19</v>
      </c>
      <c r="B35">
        <v>33.799999999999997</v>
      </c>
      <c r="C35">
        <v>27.99</v>
      </c>
      <c r="D35">
        <v>42.9</v>
      </c>
      <c r="E35">
        <v>9</v>
      </c>
    </row>
    <row r="36" spans="1:5" x14ac:dyDescent="0.3">
      <c r="A36" t="s">
        <v>20</v>
      </c>
      <c r="B36">
        <v>32.9</v>
      </c>
      <c r="C36">
        <v>26.95</v>
      </c>
      <c r="D36">
        <v>41.9</v>
      </c>
      <c r="E36">
        <v>9</v>
      </c>
    </row>
    <row r="37" spans="1:5" x14ac:dyDescent="0.3">
      <c r="A37" t="s">
        <v>46</v>
      </c>
      <c r="B37">
        <v>30.1</v>
      </c>
      <c r="C37">
        <v>24.99</v>
      </c>
      <c r="D37">
        <v>37.9</v>
      </c>
      <c r="E37">
        <v>8</v>
      </c>
    </row>
    <row r="38" spans="1:5" x14ac:dyDescent="0.3">
      <c r="A38" t="s">
        <v>10</v>
      </c>
      <c r="B38">
        <v>29.4</v>
      </c>
      <c r="C38">
        <v>24.95</v>
      </c>
      <c r="D38">
        <v>36.9</v>
      </c>
      <c r="E38">
        <v>8</v>
      </c>
    </row>
    <row r="39" spans="1:5" x14ac:dyDescent="0.3">
      <c r="A39" t="s">
        <v>51</v>
      </c>
      <c r="B39">
        <v>31.2</v>
      </c>
      <c r="C39">
        <v>25.99</v>
      </c>
      <c r="D39">
        <v>39.9</v>
      </c>
      <c r="E39">
        <v>7</v>
      </c>
    </row>
    <row r="40" spans="1:5" x14ac:dyDescent="0.3">
      <c r="A40" t="s">
        <v>40</v>
      </c>
      <c r="B40">
        <v>25.8</v>
      </c>
      <c r="C40">
        <v>20.95</v>
      </c>
      <c r="D40">
        <v>32.9</v>
      </c>
      <c r="E40">
        <v>7</v>
      </c>
    </row>
    <row r="41" spans="1:5" x14ac:dyDescent="0.3">
      <c r="A41" t="s">
        <v>24</v>
      </c>
      <c r="B41">
        <v>24.9</v>
      </c>
      <c r="C41">
        <v>19.95</v>
      </c>
      <c r="D41">
        <v>31.9</v>
      </c>
      <c r="E41">
        <v>7</v>
      </c>
    </row>
    <row r="42" spans="1:5" x14ac:dyDescent="0.3">
      <c r="A42" t="s">
        <v>21</v>
      </c>
      <c r="B42">
        <v>82.5</v>
      </c>
      <c r="C42">
        <v>69.95</v>
      </c>
      <c r="D42">
        <v>99.9</v>
      </c>
      <c r="E42">
        <v>6</v>
      </c>
    </row>
    <row r="43" spans="1:5" x14ac:dyDescent="0.3">
      <c r="A43" t="s">
        <v>22</v>
      </c>
      <c r="B43">
        <v>76.8</v>
      </c>
      <c r="C43">
        <v>64.989999999999995</v>
      </c>
      <c r="D43">
        <v>94.9</v>
      </c>
      <c r="E43">
        <v>6</v>
      </c>
    </row>
    <row r="44" spans="1:5" x14ac:dyDescent="0.3">
      <c r="A44" t="s">
        <v>28</v>
      </c>
      <c r="B44">
        <v>14.8</v>
      </c>
      <c r="C44">
        <v>11.99</v>
      </c>
      <c r="D44">
        <v>19.899999999999999</v>
      </c>
      <c r="E44">
        <v>6</v>
      </c>
    </row>
    <row r="45" spans="1:5" x14ac:dyDescent="0.3">
      <c r="A45" t="s">
        <v>35</v>
      </c>
      <c r="B45">
        <v>0</v>
      </c>
      <c r="C45">
        <v>9.99</v>
      </c>
      <c r="D45">
        <v>17.899999999999999</v>
      </c>
      <c r="E45">
        <v>6</v>
      </c>
    </row>
    <row r="46" spans="1:5" x14ac:dyDescent="0.3">
      <c r="A46" t="s">
        <v>27</v>
      </c>
      <c r="B46">
        <v>31.4</v>
      </c>
      <c r="C46">
        <v>25.95</v>
      </c>
      <c r="D46">
        <v>39.9</v>
      </c>
      <c r="E46">
        <v>7</v>
      </c>
    </row>
    <row r="47" spans="1:5" x14ac:dyDescent="0.3">
      <c r="A47" t="s">
        <v>29</v>
      </c>
      <c r="B47">
        <v>28.9</v>
      </c>
      <c r="C47">
        <v>23.95</v>
      </c>
      <c r="D47">
        <v>36.9</v>
      </c>
      <c r="E47">
        <v>7</v>
      </c>
    </row>
    <row r="48" spans="1:5" x14ac:dyDescent="0.3">
      <c r="A48" t="s">
        <v>25</v>
      </c>
      <c r="B48">
        <v>80.400000000000006</v>
      </c>
      <c r="C48">
        <v>67.989999999999995</v>
      </c>
      <c r="D48">
        <v>98.9</v>
      </c>
      <c r="E48">
        <v>6</v>
      </c>
    </row>
    <row r="49" spans="1:5" x14ac:dyDescent="0.3">
      <c r="A49" t="s">
        <v>26</v>
      </c>
      <c r="B49">
        <v>88.2</v>
      </c>
      <c r="C49">
        <v>74.95</v>
      </c>
      <c r="D49">
        <v>109.9</v>
      </c>
      <c r="E49">
        <v>5</v>
      </c>
    </row>
    <row r="50" spans="1:5" x14ac:dyDescent="0.3">
      <c r="A50" t="s">
        <v>42</v>
      </c>
      <c r="B50">
        <v>33.1</v>
      </c>
      <c r="C50">
        <v>27.95</v>
      </c>
      <c r="D50">
        <v>41.9</v>
      </c>
      <c r="E50">
        <v>8</v>
      </c>
    </row>
    <row r="51" spans="1:5" x14ac:dyDescent="0.3">
      <c r="A51" t="s">
        <v>33</v>
      </c>
      <c r="B51">
        <v>30.2</v>
      </c>
      <c r="C51">
        <v>24.95</v>
      </c>
      <c r="D51">
        <v>38.9</v>
      </c>
      <c r="E51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DA31-55FA-4806-A04E-912F57A9CAF8}">
  <sheetPr>
    <tabColor rgb="FF33CC33"/>
  </sheetPr>
  <dimension ref="A1:N26"/>
  <sheetViews>
    <sheetView tabSelected="1" workbookViewId="0">
      <selection activeCell="N2" sqref="N2:N26"/>
    </sheetView>
  </sheetViews>
  <sheetFormatPr defaultRowHeight="14.4" x14ac:dyDescent="0.3"/>
  <cols>
    <col min="3" max="3" width="8.88671875" customWidth="1"/>
    <col min="4" max="4" width="11.33203125" customWidth="1"/>
    <col min="5" max="5" width="19.44140625" bestFit="1" customWidth="1"/>
    <col min="6" max="6" width="18.33203125" bestFit="1" customWidth="1"/>
    <col min="7" max="7" width="15" bestFit="1" customWidth="1"/>
    <col min="8" max="8" width="14" bestFit="1" customWidth="1"/>
    <col min="9" max="9" width="14.88671875" bestFit="1" customWidth="1"/>
    <col min="11" max="11" width="11.44140625" bestFit="1" customWidth="1"/>
    <col min="12" max="12" width="16.109375" bestFit="1" customWidth="1"/>
    <col min="13" max="13" width="14.33203125" bestFit="1" customWidth="1"/>
    <col min="14" max="14" width="18.44140625" bestFit="1" customWidth="1"/>
  </cols>
  <sheetData>
    <row r="1" spans="1:14" x14ac:dyDescent="0.3">
      <c r="A1" t="s">
        <v>0</v>
      </c>
      <c r="B1" t="s">
        <v>185</v>
      </c>
      <c r="C1" t="s">
        <v>186</v>
      </c>
      <c r="D1" t="s">
        <v>194</v>
      </c>
      <c r="E1" t="s">
        <v>52</v>
      </c>
      <c r="F1" t="s">
        <v>195</v>
      </c>
      <c r="G1" t="s">
        <v>178</v>
      </c>
      <c r="H1" t="s">
        <v>196</v>
      </c>
      <c r="I1" t="s">
        <v>188</v>
      </c>
      <c r="J1" t="s">
        <v>183</v>
      </c>
      <c r="K1" t="s">
        <v>197</v>
      </c>
      <c r="L1" t="s">
        <v>192</v>
      </c>
      <c r="M1" t="s">
        <v>198</v>
      </c>
      <c r="N1" t="s">
        <v>199</v>
      </c>
    </row>
    <row r="2" spans="1:14" x14ac:dyDescent="0.3">
      <c r="A2" t="s">
        <v>6</v>
      </c>
      <c r="B2">
        <f>_xlfn.XLOOKUP(A2, Pricing_Data!A:A, Pricing_Data!H:H)</f>
        <v>16</v>
      </c>
      <c r="C2">
        <f>_xlfn.XLOOKUP(A2, Pricing_Data!A:A, Pricing_Data!N:N)</f>
        <v>31.272545090180362</v>
      </c>
      <c r="D2">
        <f>_xlfn.XLOOKUP(A2, Pricing_Data!A:A, Pricing_Data!O:O)</f>
        <v>31.319618665328651</v>
      </c>
      <c r="E2">
        <f>IFERROR(_xlfn.XLOOKUP(Pricing_Logic!A2,Competitor_Data[SKU],Competitor_Data[Avg_Competitor_Price]),0)</f>
        <v>35.5</v>
      </c>
      <c r="F2">
        <f>_xlfn.XLOOKUP($A2, Historical_Sales!$A:$A, Historical_Sales!$C:$C)</f>
        <v>13121</v>
      </c>
      <c r="G2">
        <f>_xlfn.XLOOKUP(A2,Historical_Sales[SKU],Historical_Sales[Total Units Ordered])</f>
        <v>4471</v>
      </c>
      <c r="H2">
        <f>_xlfn.XLOOKUP($A2, Inventory_Health!$A:$A, Inventory_Health!$C:$C)</f>
        <v>1645</v>
      </c>
      <c r="I2">
        <f>_xlfn.XLOOKUP($A2, Inventory_Health!$A:$A, Inventory_Health!$D:$D)</f>
        <v>341</v>
      </c>
      <c r="J2">
        <f>IFERROR(_xlfn.XLOOKUP(A2,Ads_Performance[SKU],Ads_Performance[ACOS]),0)</f>
        <v>0.20369868568237728</v>
      </c>
      <c r="K2">
        <f>_xlfn.XLOOKUP($A2, 'Returns_Data'!$A:$A, 'Returns_Data'!$B:$B)</f>
        <v>73</v>
      </c>
      <c r="L2" t="str">
        <f>IF(K2&gt;30,"High Returns","Normal")</f>
        <v>High Returns</v>
      </c>
      <c r="M2" t="str">
        <f>IF(L2="High Returns","Decrease",
IF(I2="Low Stock","Increase",
IF(I2="Overstock","Decrease",
IF(G2&lt;0.05,"Decrease","Keep"))))</f>
        <v>Decrease</v>
      </c>
      <c r="N2">
        <f>IF(E2=0,
VALUE(C2),
MAX(
IF(M2="Increase",VALUE(E2)*1.05,
IF(M2="Decrease",VALUE(E2)*0.95,
VALUE(E2))),
VALUE(C2)
))</f>
        <v>33.725000000000001</v>
      </c>
    </row>
    <row r="3" spans="1:14" x14ac:dyDescent="0.3">
      <c r="A3" t="s">
        <v>12</v>
      </c>
      <c r="B3">
        <f>_xlfn.XLOOKUP(A3, Pricing_Data!A:A, Pricing_Data!H:H)</f>
        <v>13</v>
      </c>
      <c r="C3">
        <f>_xlfn.XLOOKUP(A3, Pricing_Data!A:A, Pricing_Data!N:N)</f>
        <v>26.903807615230463</v>
      </c>
      <c r="D3">
        <f>_xlfn.XLOOKUP(A3, Pricing_Data!A:A, Pricing_Data!O:O)</f>
        <v>26.94430506773708</v>
      </c>
      <c r="E3">
        <f>IFERROR(_xlfn.XLOOKUP(Pricing_Logic!A3,Competitor_Data[SKU],Competitor_Data[Avg_Competitor_Price]),0)</f>
        <v>30.4</v>
      </c>
      <c r="F3">
        <f>_xlfn.XLOOKUP($A3, Historical_Sales!$A:$A, Historical_Sales!$C:$C)</f>
        <v>2961</v>
      </c>
      <c r="G3">
        <f>_xlfn.XLOOKUP(A3,Historical_Sales[SKU],Historical_Sales[Total Units Ordered])</f>
        <v>1663</v>
      </c>
      <c r="H3">
        <f>_xlfn.XLOOKUP($A3, Inventory_Health!$A:$A, Inventory_Health!$C:$C)</f>
        <v>1142</v>
      </c>
      <c r="I3">
        <f>_xlfn.XLOOKUP($A3, Inventory_Health!$A:$A, Inventory_Health!$D:$D)</f>
        <v>1079</v>
      </c>
      <c r="J3">
        <f>IFERROR(_xlfn.XLOOKUP(A3,Ads_Performance[SKU],Ads_Performance[ACOS]),0)</f>
        <v>0.16936099244602842</v>
      </c>
      <c r="K3">
        <f>_xlfn.XLOOKUP($A3, 'Returns_Data'!$A:$A, 'Returns_Data'!$B:$B)</f>
        <v>30</v>
      </c>
      <c r="L3" t="str">
        <f t="shared" ref="L3:L26" si="0">IF(K3&gt;30,"High Returns","Normal")</f>
        <v>Normal</v>
      </c>
      <c r="M3" t="str">
        <f>IF(L3="High Returns","Decrease",
IF(I3="Low Stock","Increase",
IF(I3="Overstock","Decrease",
IF(G3&lt;0.05,"Decrease","Keep"))))</f>
        <v>Keep</v>
      </c>
      <c r="N3">
        <f t="shared" ref="N3:N26" si="1">IF(E3=0,
VALUE(C3),
MAX(
IF(M3="Increase",VALUE(E3)*1.05,
IF(M3="Decrease",VALUE(E3)*0.95,
VALUE(E3))),
VALUE(C3)
))</f>
        <v>30.4</v>
      </c>
    </row>
    <row r="4" spans="1:14" x14ac:dyDescent="0.3">
      <c r="A4" t="s">
        <v>13</v>
      </c>
      <c r="B4">
        <f>_xlfn.XLOOKUP(A4, Pricing_Data!A:A, Pricing_Data!H:H)</f>
        <v>11</v>
      </c>
      <c r="C4">
        <f>_xlfn.XLOOKUP(A4, Pricing_Data!A:A, Pricing_Data!N:N)</f>
        <v>24.228456913827657</v>
      </c>
      <c r="D4">
        <f>_xlfn.XLOOKUP(A4, Pricing_Data!A:A, Pricing_Data!O:O)</f>
        <v>24.264927245358756</v>
      </c>
      <c r="E4">
        <f>IFERROR(_xlfn.XLOOKUP(Pricing_Logic!A4,Competitor_Data[SKU],Competitor_Data[Avg_Competitor_Price]),0)</f>
        <v>29.9</v>
      </c>
      <c r="F4">
        <f>_xlfn.XLOOKUP($A4, Historical_Sales!$A:$A, Historical_Sales!$C:$C)</f>
        <v>2609</v>
      </c>
      <c r="G4">
        <f>_xlfn.XLOOKUP(A4,Historical_Sales[SKU],Historical_Sales[Total Units Ordered])</f>
        <v>1257</v>
      </c>
      <c r="H4">
        <f>_xlfn.XLOOKUP($A4, Inventory_Health!$A:$A, Inventory_Health!$C:$C)</f>
        <v>838</v>
      </c>
      <c r="I4">
        <f>_xlfn.XLOOKUP($A4, Inventory_Health!$A:$A, Inventory_Health!$D:$D)</f>
        <v>772</v>
      </c>
      <c r="J4">
        <f>IFERROR(_xlfn.XLOOKUP(A4,Ads_Performance[SKU],Ads_Performance[ACOS]),0)</f>
        <v>0.20588997437832521</v>
      </c>
      <c r="K4">
        <f>_xlfn.XLOOKUP($A4, 'Returns_Data'!$A:$A, 'Returns_Data'!$B:$B)</f>
        <v>21</v>
      </c>
      <c r="L4" t="str">
        <f t="shared" si="0"/>
        <v>Normal</v>
      </c>
      <c r="M4" t="str">
        <f t="shared" ref="M4:M26" si="2">IF(L4="High Returns","Decrease",
IF(I4="Low Stock","Increase",
IF(I4="Overstock","Decrease",
IF(G4&lt;0.05,"Decrease","Keep"))))</f>
        <v>Keep</v>
      </c>
      <c r="N4">
        <f t="shared" si="1"/>
        <v>29.9</v>
      </c>
    </row>
    <row r="5" spans="1:14" x14ac:dyDescent="0.3">
      <c r="A5" t="s">
        <v>14</v>
      </c>
      <c r="B5">
        <f>_xlfn.XLOOKUP(A5, Pricing_Data!A:A, Pricing_Data!H:H)</f>
        <v>11</v>
      </c>
      <c r="C5">
        <f>_xlfn.XLOOKUP(A5, Pricing_Data!A:A, Pricing_Data!N:N)</f>
        <v>22.515030060120239</v>
      </c>
      <c r="D5">
        <f>_xlfn.XLOOKUP(A5, Pricing_Data!A:A, Pricing_Data!O:O)</f>
        <v>22.548921224284996</v>
      </c>
      <c r="E5">
        <f>IFERROR(_xlfn.XLOOKUP(Pricing_Logic!A5,Competitor_Data[SKU],Competitor_Data[Avg_Competitor_Price]),0)</f>
        <v>26.2</v>
      </c>
      <c r="F5">
        <f>_xlfn.XLOOKUP($A5, Historical_Sales!$A:$A, Historical_Sales!$C:$C)</f>
        <v>5516</v>
      </c>
      <c r="G5">
        <f>_xlfn.XLOOKUP(A5,Historical_Sales[SKU],Historical_Sales[Total Units Ordered])</f>
        <v>2480</v>
      </c>
      <c r="H5">
        <f>_xlfn.XLOOKUP($A5, Inventory_Health!$A:$A, Inventory_Health!$C:$C)</f>
        <v>1327</v>
      </c>
      <c r="I5">
        <f>_xlfn.XLOOKUP($A5, Inventory_Health!$A:$A, Inventory_Health!$D:$D)</f>
        <v>1043</v>
      </c>
      <c r="J5">
        <f>IFERROR(_xlfn.XLOOKUP(A5,Ads_Performance[SKU],Ads_Performance[ACOS]),0)</f>
        <v>0.2289580334087882</v>
      </c>
      <c r="K5">
        <f>_xlfn.XLOOKUP($A5, 'Returns_Data'!$A:$A, 'Returns_Data'!$B:$B)</f>
        <v>45</v>
      </c>
      <c r="L5" t="str">
        <f t="shared" si="0"/>
        <v>High Returns</v>
      </c>
      <c r="M5" t="str">
        <f t="shared" si="2"/>
        <v>Decrease</v>
      </c>
      <c r="N5">
        <f t="shared" si="1"/>
        <v>24.889999999999997</v>
      </c>
    </row>
    <row r="6" spans="1:14" x14ac:dyDescent="0.3">
      <c r="A6" t="s">
        <v>15</v>
      </c>
      <c r="B6">
        <f>_xlfn.XLOOKUP(A6, Pricing_Data!A:A, Pricing_Data!H:H)</f>
        <v>8</v>
      </c>
      <c r="C6">
        <f>_xlfn.XLOOKUP(A6, Pricing_Data!A:A, Pricing_Data!N:N)</f>
        <v>17.745490981963929</v>
      </c>
      <c r="D6">
        <f>_xlfn.XLOOKUP(A6, Pricing_Data!A:A, Pricing_Data!O:O)</f>
        <v>17.772202709483192</v>
      </c>
      <c r="E6">
        <f>IFERROR(_xlfn.XLOOKUP(Pricing_Logic!A6,Competitor_Data[SKU],Competitor_Data[Avg_Competitor_Price]),0)</f>
        <v>22.8</v>
      </c>
      <c r="F6">
        <f>_xlfn.XLOOKUP($A6, Historical_Sales!$A:$A, Historical_Sales!$C:$C)</f>
        <v>5346</v>
      </c>
      <c r="G6">
        <f>_xlfn.XLOOKUP(A6,Historical_Sales[SKU],Historical_Sales[Total Units Ordered])</f>
        <v>1519</v>
      </c>
      <c r="H6">
        <f>_xlfn.XLOOKUP($A6, Inventory_Health!$A:$A, Inventory_Health!$C:$C)</f>
        <v>924</v>
      </c>
      <c r="I6">
        <f>_xlfn.XLOOKUP($A6, Inventory_Health!$A:$A, Inventory_Health!$D:$D)</f>
        <v>815</v>
      </c>
      <c r="J6">
        <f>IFERROR(_xlfn.XLOOKUP(A6,Ads_Performance[SKU],Ads_Performance[ACOS]),0)</f>
        <v>0.23092146647858514</v>
      </c>
      <c r="K6">
        <f>_xlfn.XLOOKUP($A6, 'Returns_Data'!$A:$A, 'Returns_Data'!$B:$B)</f>
        <v>72</v>
      </c>
      <c r="L6" t="str">
        <f t="shared" si="0"/>
        <v>High Returns</v>
      </c>
      <c r="M6" t="str">
        <f t="shared" si="2"/>
        <v>Decrease</v>
      </c>
      <c r="N6">
        <f t="shared" si="1"/>
        <v>21.66</v>
      </c>
    </row>
    <row r="7" spans="1:14" x14ac:dyDescent="0.3">
      <c r="A7" t="s">
        <v>16</v>
      </c>
      <c r="B7">
        <f>_xlfn.XLOOKUP(A7, Pricing_Data!A:A, Pricing_Data!H:H)</f>
        <v>16</v>
      </c>
      <c r="C7">
        <f>_xlfn.XLOOKUP(A7, Pricing_Data!A:A, Pricing_Data!N:N)</f>
        <v>35.300601202404813</v>
      </c>
      <c r="D7">
        <f>_xlfn.XLOOKUP(A7, Pricing_Data!A:A, Pricing_Data!O:O)</f>
        <v>35.353738083291525</v>
      </c>
      <c r="E7">
        <f>IFERROR(_xlfn.XLOOKUP(Pricing_Logic!A7,Competitor_Data[SKU],Competitor_Data[Avg_Competitor_Price]),0)</f>
        <v>36.4</v>
      </c>
      <c r="F7">
        <f>_xlfn.XLOOKUP($A7, Historical_Sales!$A:$A, Historical_Sales!$C:$C)</f>
        <v>3771</v>
      </c>
      <c r="G7">
        <f>_xlfn.XLOOKUP(A7,Historical_Sales[SKU],Historical_Sales[Total Units Ordered])</f>
        <v>688</v>
      </c>
      <c r="H7">
        <f>_xlfn.XLOOKUP($A7, Inventory_Health!$A:$A, Inventory_Health!$C:$C)</f>
        <v>404</v>
      </c>
      <c r="I7">
        <f>_xlfn.XLOOKUP($A7, Inventory_Health!$A:$A, Inventory_Health!$D:$D)</f>
        <v>254</v>
      </c>
      <c r="J7">
        <f>IFERROR(_xlfn.XLOOKUP(A7,Ads_Performance[SKU],Ads_Performance[ACOS]),0)</f>
        <v>0.26135659542240319</v>
      </c>
      <c r="K7">
        <f>_xlfn.XLOOKUP($A7, 'Returns_Data'!$A:$A, 'Returns_Data'!$B:$B)</f>
        <v>8</v>
      </c>
      <c r="L7" t="str">
        <f t="shared" si="0"/>
        <v>Normal</v>
      </c>
      <c r="M7" t="str">
        <f t="shared" si="2"/>
        <v>Keep</v>
      </c>
      <c r="N7">
        <f t="shared" si="1"/>
        <v>36.4</v>
      </c>
    </row>
    <row r="8" spans="1:14" x14ac:dyDescent="0.3">
      <c r="A8" t="s">
        <v>48</v>
      </c>
      <c r="B8">
        <f>_xlfn.XLOOKUP(A8, Pricing_Data!A:A, Pricing_Data!H:H)</f>
        <v>13</v>
      </c>
      <c r="C8">
        <f>_xlfn.XLOOKUP(A8, Pricing_Data!A:A, Pricing_Data!N:N)</f>
        <v>26.603206412825653</v>
      </c>
      <c r="D8">
        <f>_xlfn.XLOOKUP(A8, Pricing_Data!A:A, Pricing_Data!O:O)</f>
        <v>26.643251379829401</v>
      </c>
      <c r="E8">
        <f>IFERROR(_xlfn.XLOOKUP(Pricing_Logic!A8,Competitor_Data[SKU],Competitor_Data[Avg_Competitor_Price]),0)</f>
        <v>29.8</v>
      </c>
      <c r="F8">
        <f>_xlfn.XLOOKUP($A8, Historical_Sales!$A:$A, Historical_Sales!$C:$C)</f>
        <v>1584</v>
      </c>
      <c r="G8">
        <f>_xlfn.XLOOKUP(A8,Historical_Sales[SKU],Historical_Sales[Total Units Ordered])</f>
        <v>355</v>
      </c>
      <c r="H8">
        <f>_xlfn.XLOOKUP($A8, Inventory_Health!$A:$A, Inventory_Health!$C:$C)</f>
        <v>300</v>
      </c>
      <c r="I8">
        <f>_xlfn.XLOOKUP($A8, Inventory_Health!$A:$A, Inventory_Health!$D:$D)</f>
        <v>199</v>
      </c>
      <c r="J8">
        <f>IFERROR(_xlfn.XLOOKUP(A8,Ads_Performance[SKU],Ads_Performance[ACOS]),0)</f>
        <v>0.27639789065072462</v>
      </c>
      <c r="K8">
        <f>_xlfn.XLOOKUP($A8, 'Returns_Data'!$A:$A, 'Returns_Data'!$B:$B)</f>
        <v>7</v>
      </c>
      <c r="L8" t="str">
        <f t="shared" si="0"/>
        <v>Normal</v>
      </c>
      <c r="M8" t="str">
        <f t="shared" si="2"/>
        <v>Keep</v>
      </c>
      <c r="N8">
        <f t="shared" si="1"/>
        <v>29.8</v>
      </c>
    </row>
    <row r="9" spans="1:14" x14ac:dyDescent="0.3">
      <c r="A9" t="s">
        <v>17</v>
      </c>
      <c r="B9">
        <f>_xlfn.XLOOKUP(A9, Pricing_Data!A:A, Pricing_Data!H:H)</f>
        <v>11</v>
      </c>
      <c r="C9">
        <f>_xlfn.XLOOKUP(A9, Pricing_Data!A:A, Pricing_Data!N:N)</f>
        <v>23.957915831663328</v>
      </c>
      <c r="D9">
        <f>_xlfn.XLOOKUP(A9, Pricing_Data!A:A, Pricing_Data!O:O)</f>
        <v>23.993978926241844</v>
      </c>
      <c r="E9">
        <f>IFERROR(_xlfn.XLOOKUP(Pricing_Logic!A9,Competitor_Data[SKU],Competitor_Data[Avg_Competitor_Price]),0)</f>
        <v>27.5</v>
      </c>
      <c r="F9">
        <f>_xlfn.XLOOKUP($A9, Historical_Sales!$A:$A, Historical_Sales!$C:$C)</f>
        <v>1484</v>
      </c>
      <c r="G9">
        <f>_xlfn.XLOOKUP(A9,Historical_Sales[SKU],Historical_Sales[Total Units Ordered])</f>
        <v>533</v>
      </c>
      <c r="H9">
        <f>_xlfn.XLOOKUP($A9, Inventory_Health!$A:$A, Inventory_Health!$C:$C)</f>
        <v>338</v>
      </c>
      <c r="I9">
        <f>_xlfn.XLOOKUP($A9, Inventory_Health!$A:$A, Inventory_Health!$D:$D)</f>
        <v>230</v>
      </c>
      <c r="J9">
        <f>IFERROR(_xlfn.XLOOKUP(A9,Ads_Performance[SKU],Ads_Performance[ACOS]),0)</f>
        <v>0.16949219636858992</v>
      </c>
      <c r="K9">
        <f>_xlfn.XLOOKUP($A9, 'Returns_Data'!$A:$A, 'Returns_Data'!$B:$B)</f>
        <v>16</v>
      </c>
      <c r="L9" t="str">
        <f t="shared" si="0"/>
        <v>Normal</v>
      </c>
      <c r="M9" t="str">
        <f t="shared" si="2"/>
        <v>Keep</v>
      </c>
      <c r="N9">
        <f t="shared" si="1"/>
        <v>27.5</v>
      </c>
    </row>
    <row r="10" spans="1:14" x14ac:dyDescent="0.3">
      <c r="A10" t="s">
        <v>18</v>
      </c>
      <c r="B10">
        <f>_xlfn.XLOOKUP(A10, Pricing_Data!A:A, Pricing_Data!H:H)</f>
        <v>11</v>
      </c>
      <c r="C10">
        <f>_xlfn.XLOOKUP(A10, Pricing_Data!A:A, Pricing_Data!N:N)</f>
        <v>22.204408817635272</v>
      </c>
      <c r="D10">
        <f>_xlfn.XLOOKUP(A10, Pricing_Data!A:A, Pricing_Data!O:O)</f>
        <v>22.237832413447062</v>
      </c>
      <c r="E10">
        <f>IFERROR(_xlfn.XLOOKUP(Pricing_Logic!A10,Competitor_Data[SKU],Competitor_Data[Avg_Competitor_Price]),0)</f>
        <v>0</v>
      </c>
      <c r="F10">
        <f>_xlfn.XLOOKUP($A10, Historical_Sales!$A:$A, Historical_Sales!$C:$C)</f>
        <v>1184</v>
      </c>
      <c r="G10">
        <f>_xlfn.XLOOKUP(A10,Historical_Sales[SKU],Historical_Sales[Total Units Ordered])</f>
        <v>388</v>
      </c>
      <c r="H10">
        <f>_xlfn.XLOOKUP($A10, Inventory_Health!$A:$A, Inventory_Health!$C:$C)</f>
        <v>326</v>
      </c>
      <c r="I10">
        <f>_xlfn.XLOOKUP($A10, Inventory_Health!$A:$A, Inventory_Health!$D:$D)</f>
        <v>153</v>
      </c>
      <c r="J10">
        <f>IFERROR(_xlfn.XLOOKUP(A10,Ads_Performance[SKU],Ads_Performance[ACOS]),0)</f>
        <v>0.16360509875686247</v>
      </c>
      <c r="K10">
        <f>_xlfn.XLOOKUP($A10, 'Returns_Data'!$A:$A, 'Returns_Data'!$B:$B)</f>
        <v>13</v>
      </c>
      <c r="L10" t="str">
        <f t="shared" si="0"/>
        <v>Normal</v>
      </c>
      <c r="M10" t="str">
        <f t="shared" si="2"/>
        <v>Keep</v>
      </c>
      <c r="N10">
        <f t="shared" si="1"/>
        <v>22.204408817635272</v>
      </c>
    </row>
    <row r="11" spans="1:14" x14ac:dyDescent="0.3">
      <c r="A11" t="s">
        <v>19</v>
      </c>
      <c r="B11">
        <f>_xlfn.XLOOKUP(A11, Pricing_Data!A:A, Pricing_Data!H:H)</f>
        <v>14</v>
      </c>
      <c r="C11">
        <f>_xlfn.XLOOKUP(A11, Pricing_Data!A:A, Pricing_Data!N:N)</f>
        <v>28.496993987975948</v>
      </c>
      <c r="D11">
        <f>_xlfn.XLOOKUP(A11, Pricing_Data!A:A, Pricing_Data!O:O)</f>
        <v>28.539889613647762</v>
      </c>
      <c r="E11">
        <f>IFERROR(_xlfn.XLOOKUP(Pricing_Logic!A11,Competitor_Data[SKU],Competitor_Data[Avg_Competitor_Price]),0)</f>
        <v>33.799999999999997</v>
      </c>
      <c r="F11">
        <f>_xlfn.XLOOKUP($A11, Historical_Sales!$A:$A, Historical_Sales!$C:$C)</f>
        <v>2106</v>
      </c>
      <c r="G11">
        <f>_xlfn.XLOOKUP(A11,Historical_Sales[SKU],Historical_Sales[Total Units Ordered])</f>
        <v>1001</v>
      </c>
      <c r="H11">
        <f>_xlfn.XLOOKUP($A11, Inventory_Health!$A:$A, Inventory_Health!$C:$C)</f>
        <v>753</v>
      </c>
      <c r="I11">
        <f>_xlfn.XLOOKUP($A11, Inventory_Health!$A:$A, Inventory_Health!$D:$D)</f>
        <v>498</v>
      </c>
      <c r="J11">
        <f>IFERROR(_xlfn.XLOOKUP(A11,Ads_Performance[SKU],Ads_Performance[ACOS]),0)</f>
        <v>0.19423321495580637</v>
      </c>
      <c r="K11">
        <f>_xlfn.XLOOKUP($A11, 'Returns_Data'!$A:$A, 'Returns_Data'!$B:$B)</f>
        <v>14</v>
      </c>
      <c r="L11" t="str">
        <f t="shared" si="0"/>
        <v>Normal</v>
      </c>
      <c r="M11" t="str">
        <f t="shared" si="2"/>
        <v>Keep</v>
      </c>
      <c r="N11">
        <f t="shared" si="1"/>
        <v>33.799999999999997</v>
      </c>
    </row>
    <row r="12" spans="1:14" x14ac:dyDescent="0.3">
      <c r="A12" t="s">
        <v>20</v>
      </c>
      <c r="B12">
        <f>_xlfn.XLOOKUP(A12, Pricing_Data!A:A, Pricing_Data!H:H)</f>
        <v>14</v>
      </c>
      <c r="C12">
        <f>_xlfn.XLOOKUP(A12, Pricing_Data!A:A, Pricing_Data!N:N)</f>
        <v>28.547094188376757</v>
      </c>
      <c r="D12">
        <f>_xlfn.XLOOKUP(A12, Pricing_Data!A:A, Pricing_Data!O:O)</f>
        <v>28.590065228299046</v>
      </c>
      <c r="E12">
        <f>IFERROR(_xlfn.XLOOKUP(Pricing_Logic!A12,Competitor_Data[SKU],Competitor_Data[Avg_Competitor_Price]),0)</f>
        <v>32.9</v>
      </c>
      <c r="F12">
        <f>_xlfn.XLOOKUP($A12, Historical_Sales!$A:$A, Historical_Sales!$C:$C)</f>
        <v>1418</v>
      </c>
      <c r="G12">
        <f>_xlfn.XLOOKUP(A12,Historical_Sales[SKU],Historical_Sales[Total Units Ordered])</f>
        <v>417</v>
      </c>
      <c r="H12">
        <f>_xlfn.XLOOKUP($A12, Inventory_Health!$A:$A, Inventory_Health!$C:$C)</f>
        <v>267</v>
      </c>
      <c r="I12">
        <f>_xlfn.XLOOKUP($A12, Inventory_Health!$A:$A, Inventory_Health!$D:$D)</f>
        <v>168</v>
      </c>
      <c r="J12">
        <f>IFERROR(_xlfn.XLOOKUP(A12,Ads_Performance[SKU],Ads_Performance[ACOS]),0)</f>
        <v>0.20819785772405344</v>
      </c>
      <c r="K12">
        <f>_xlfn.XLOOKUP($A12, 'Returns_Data'!$A:$A, 'Returns_Data'!$B:$B)</f>
        <v>8</v>
      </c>
      <c r="L12" t="str">
        <f t="shared" si="0"/>
        <v>Normal</v>
      </c>
      <c r="M12" t="str">
        <f t="shared" si="2"/>
        <v>Keep</v>
      </c>
      <c r="N12">
        <f t="shared" si="1"/>
        <v>32.9</v>
      </c>
    </row>
    <row r="13" spans="1:14" x14ac:dyDescent="0.3">
      <c r="A13" t="s">
        <v>46</v>
      </c>
      <c r="B13">
        <f>_xlfn.XLOOKUP(A13, Pricing_Data!A:A, Pricing_Data!H:H)</f>
        <v>11</v>
      </c>
      <c r="C13">
        <f>_xlfn.XLOOKUP(A13, Pricing_Data!A:A, Pricing_Data!N:N)</f>
        <v>25.100200400801601</v>
      </c>
      <c r="D13">
        <f>_xlfn.XLOOKUP(A13, Pricing_Data!A:A, Pricing_Data!O:O)</f>
        <v>25.137982940291014</v>
      </c>
      <c r="E13">
        <f>IFERROR(_xlfn.XLOOKUP(Pricing_Logic!A13,Competitor_Data[SKU],Competitor_Data[Avg_Competitor_Price]),0)</f>
        <v>30.1</v>
      </c>
      <c r="F13">
        <f>_xlfn.XLOOKUP($A13, Historical_Sales!$A:$A, Historical_Sales!$C:$C)</f>
        <v>11890</v>
      </c>
      <c r="G13">
        <f>_xlfn.XLOOKUP(A13,Historical_Sales[SKU],Historical_Sales[Total Units Ordered])</f>
        <v>2255</v>
      </c>
      <c r="H13">
        <f>_xlfn.XLOOKUP($A13, Inventory_Health!$A:$A, Inventory_Health!$C:$C)</f>
        <v>1382</v>
      </c>
      <c r="I13">
        <f>_xlfn.XLOOKUP($A13, Inventory_Health!$A:$A, Inventory_Health!$D:$D)</f>
        <v>784</v>
      </c>
      <c r="J13">
        <f>IFERROR(_xlfn.XLOOKUP(A13,Ads_Performance[SKU],Ads_Performance[ACOS]),0)</f>
        <v>0.29045469684117137</v>
      </c>
      <c r="K13">
        <f>_xlfn.XLOOKUP($A13, 'Returns_Data'!$A:$A, 'Returns_Data'!$B:$B)</f>
        <v>36</v>
      </c>
      <c r="L13" t="str">
        <f t="shared" si="0"/>
        <v>High Returns</v>
      </c>
      <c r="M13" t="str">
        <f t="shared" si="2"/>
        <v>Decrease</v>
      </c>
      <c r="N13">
        <f t="shared" si="1"/>
        <v>28.594999999999999</v>
      </c>
    </row>
    <row r="14" spans="1:14" x14ac:dyDescent="0.3">
      <c r="A14" t="s">
        <v>10</v>
      </c>
      <c r="B14">
        <f>_xlfn.XLOOKUP(A14, Pricing_Data!A:A, Pricing_Data!H:H)</f>
        <v>13</v>
      </c>
      <c r="C14">
        <f>_xlfn.XLOOKUP(A14, Pricing_Data!A:A, Pricing_Data!N:N)</f>
        <v>25.971943887775552</v>
      </c>
      <c r="D14">
        <f>_xlfn.XLOOKUP(A14, Pricing_Data!A:A, Pricing_Data!O:O)</f>
        <v>26.011038635223283</v>
      </c>
      <c r="E14">
        <f>IFERROR(_xlfn.XLOOKUP(Pricing_Logic!A14,Competitor_Data[SKU],Competitor_Data[Avg_Competitor_Price]),0)</f>
        <v>29.4</v>
      </c>
      <c r="F14">
        <f>_xlfn.XLOOKUP($A14, Historical_Sales!$A:$A, Historical_Sales!$C:$C)</f>
        <v>1160</v>
      </c>
      <c r="G14">
        <f>_xlfn.XLOOKUP(A14,Historical_Sales[SKU],Historical_Sales[Total Units Ordered])</f>
        <v>252</v>
      </c>
      <c r="H14">
        <f>_xlfn.XLOOKUP($A14, Inventory_Health!$A:$A, Inventory_Health!$C:$C)</f>
        <v>221</v>
      </c>
      <c r="I14">
        <f>_xlfn.XLOOKUP($A14, Inventory_Health!$A:$A, Inventory_Health!$D:$D)</f>
        <v>123</v>
      </c>
      <c r="J14">
        <f>IFERROR(_xlfn.XLOOKUP(A14,Ads_Performance[SKU],Ads_Performance[ACOS]),0)</f>
        <v>0.31110756370813264</v>
      </c>
      <c r="K14">
        <f>_xlfn.XLOOKUP($A14, 'Returns_Data'!$A:$A, 'Returns_Data'!$B:$B)</f>
        <v>9</v>
      </c>
      <c r="L14" t="str">
        <f t="shared" si="0"/>
        <v>Normal</v>
      </c>
      <c r="M14" t="str">
        <f t="shared" si="2"/>
        <v>Keep</v>
      </c>
      <c r="N14">
        <f t="shared" si="1"/>
        <v>29.4</v>
      </c>
    </row>
    <row r="15" spans="1:14" x14ac:dyDescent="0.3">
      <c r="A15" t="s">
        <v>40</v>
      </c>
      <c r="B15">
        <f>_xlfn.XLOOKUP(A15, Pricing_Data!A:A, Pricing_Data!H:H)</f>
        <v>13</v>
      </c>
      <c r="C15">
        <f>_xlfn.XLOOKUP(A15, Pricing_Data!A:A, Pricing_Data!N:N)</f>
        <v>22.975951903807616</v>
      </c>
      <c r="D15">
        <f>_xlfn.XLOOKUP(A15, Pricing_Data!A:A, Pricing_Data!O:O)</f>
        <v>23.010536879076767</v>
      </c>
      <c r="E15">
        <f>IFERROR(_xlfn.XLOOKUP(Pricing_Logic!A15,Competitor_Data[SKU],Competitor_Data[Avg_Competitor_Price]),0)</f>
        <v>25.8</v>
      </c>
      <c r="F15">
        <f>_xlfn.XLOOKUP($A15, Historical_Sales!$A:$A, Historical_Sales!$C:$C)</f>
        <v>1176</v>
      </c>
      <c r="G15">
        <f>_xlfn.XLOOKUP(A15,Historical_Sales[SKU],Historical_Sales[Total Units Ordered])</f>
        <v>282</v>
      </c>
      <c r="H15">
        <f>_xlfn.XLOOKUP($A15, Inventory_Health!$A:$A, Inventory_Health!$C:$C)</f>
        <v>0</v>
      </c>
      <c r="I15">
        <f>_xlfn.XLOOKUP($A15, Inventory_Health!$A:$A, Inventory_Health!$D:$D)</f>
        <v>22</v>
      </c>
      <c r="J15">
        <f>IFERROR(_xlfn.XLOOKUP(A15,Ads_Performance[SKU],Ads_Performance[ACOS]),0)</f>
        <v>0.31513486120697926</v>
      </c>
      <c r="K15">
        <f>_xlfn.XLOOKUP($A15, 'Returns_Data'!$A:$A, 'Returns_Data'!$B:$B)</f>
        <v>4</v>
      </c>
      <c r="L15" t="str">
        <f t="shared" si="0"/>
        <v>Normal</v>
      </c>
      <c r="M15" t="str">
        <f t="shared" si="2"/>
        <v>Keep</v>
      </c>
      <c r="N15">
        <f t="shared" si="1"/>
        <v>25.8</v>
      </c>
    </row>
    <row r="16" spans="1:14" x14ac:dyDescent="0.3">
      <c r="A16" t="s">
        <v>24</v>
      </c>
      <c r="B16">
        <f>_xlfn.XLOOKUP(A16, Pricing_Data!A:A, Pricing_Data!H:H)</f>
        <v>9</v>
      </c>
      <c r="C16">
        <f>_xlfn.XLOOKUP(A16, Pricing_Data!A:A, Pricing_Data!N:N)</f>
        <v>19.709418837675351</v>
      </c>
      <c r="D16">
        <f>_xlfn.XLOOKUP(A16, Pricing_Data!A:A, Pricing_Data!O:O)</f>
        <v>19.739086803813347</v>
      </c>
      <c r="E16">
        <f>IFERROR(_xlfn.XLOOKUP(Pricing_Logic!A16,Competitor_Data[SKU],Competitor_Data[Avg_Competitor_Price]),0)</f>
        <v>24.9</v>
      </c>
      <c r="F16">
        <f>_xlfn.XLOOKUP($A16, Historical_Sales!$A:$A, Historical_Sales!$C:$C)</f>
        <v>2333</v>
      </c>
      <c r="G16">
        <f>_xlfn.XLOOKUP(A16,Historical_Sales[SKU],Historical_Sales[Total Units Ordered])</f>
        <v>883</v>
      </c>
      <c r="H16">
        <f>_xlfn.XLOOKUP($A16, Inventory_Health!$A:$A, Inventory_Health!$C:$C)</f>
        <v>655</v>
      </c>
      <c r="I16">
        <f>_xlfn.XLOOKUP($A16, Inventory_Health!$A:$A, Inventory_Health!$D:$D)</f>
        <v>407</v>
      </c>
      <c r="J16">
        <f>IFERROR(_xlfn.XLOOKUP(A16,Ads_Performance[SKU],Ads_Performance[ACOS]),0)</f>
        <v>0.12431633223582034</v>
      </c>
      <c r="K16">
        <f>_xlfn.XLOOKUP($A16, 'Returns_Data'!$A:$A, 'Returns_Data'!$B:$B)</f>
        <v>38</v>
      </c>
      <c r="L16" t="str">
        <f t="shared" si="0"/>
        <v>High Returns</v>
      </c>
      <c r="M16" t="str">
        <f t="shared" si="2"/>
        <v>Decrease</v>
      </c>
      <c r="N16">
        <f t="shared" si="1"/>
        <v>23.654999999999998</v>
      </c>
    </row>
    <row r="17" spans="1:14" x14ac:dyDescent="0.3">
      <c r="A17" t="s">
        <v>21</v>
      </c>
      <c r="B17">
        <f>_xlfn.XLOOKUP(A17, Pricing_Data!A:A, Pricing_Data!H:H)</f>
        <v>41</v>
      </c>
      <c r="C17">
        <f>_xlfn.XLOOKUP(A17, Pricing_Data!A:A, Pricing_Data!N:N)</f>
        <v>63.547094188376754</v>
      </c>
      <c r="D17">
        <f>_xlfn.XLOOKUP(A17, Pricing_Data!A:A, Pricing_Data!O:O)</f>
        <v>63.642749623682889</v>
      </c>
      <c r="E17">
        <f>IFERROR(_xlfn.XLOOKUP(Pricing_Logic!A17,Competitor_Data[SKU],Competitor_Data[Avg_Competitor_Price]),0)</f>
        <v>82.5</v>
      </c>
      <c r="F17">
        <f>_xlfn.XLOOKUP($A17, Historical_Sales!$A:$A, Historical_Sales!$C:$C)</f>
        <v>2779</v>
      </c>
      <c r="G17">
        <f>_xlfn.XLOOKUP(A17,Historical_Sales[SKU],Historical_Sales[Total Units Ordered])</f>
        <v>1613</v>
      </c>
      <c r="H17">
        <f>_xlfn.XLOOKUP($A17, Inventory_Health!$A:$A, Inventory_Health!$C:$C)</f>
        <v>935</v>
      </c>
      <c r="I17">
        <f>_xlfn.XLOOKUP($A17, Inventory_Health!$A:$A, Inventory_Health!$D:$D)</f>
        <v>694</v>
      </c>
      <c r="J17">
        <f>IFERROR(_xlfn.XLOOKUP(A17,Ads_Performance[SKU],Ads_Performance[ACOS]),0)</f>
        <v>8.7022772008652508E-2</v>
      </c>
      <c r="K17">
        <f>_xlfn.XLOOKUP($A17, 'Returns_Data'!$A:$A, 'Returns_Data'!$B:$B)</f>
        <v>12</v>
      </c>
      <c r="L17" t="str">
        <f t="shared" si="0"/>
        <v>Normal</v>
      </c>
      <c r="M17" t="str">
        <f t="shared" si="2"/>
        <v>Keep</v>
      </c>
      <c r="N17">
        <f t="shared" si="1"/>
        <v>82.5</v>
      </c>
    </row>
    <row r="18" spans="1:14" x14ac:dyDescent="0.3">
      <c r="A18" t="s">
        <v>22</v>
      </c>
      <c r="B18">
        <f>_xlfn.XLOOKUP(A18, Pricing_Data!A:A, Pricing_Data!H:H)</f>
        <v>31</v>
      </c>
      <c r="C18">
        <f>_xlfn.XLOOKUP(A18, Pricing_Data!A:A, Pricing_Data!N:N)</f>
        <v>50.891783567134269</v>
      </c>
      <c r="D18">
        <f>_xlfn.XLOOKUP(A18, Pricing_Data!A:A, Pricing_Data!O:O)</f>
        <v>50.968389362769692</v>
      </c>
      <c r="E18">
        <f>IFERROR(_xlfn.XLOOKUP(Pricing_Logic!A18,Competitor_Data[SKU],Competitor_Data[Avg_Competitor_Price]),0)</f>
        <v>76.8</v>
      </c>
      <c r="F18">
        <f>_xlfn.XLOOKUP($A18, Historical_Sales!$A:$A, Historical_Sales!$C:$C)</f>
        <v>2608</v>
      </c>
      <c r="G18">
        <f>_xlfn.XLOOKUP(A18,Historical_Sales[SKU],Historical_Sales[Total Units Ordered])</f>
        <v>1267</v>
      </c>
      <c r="H18">
        <f>_xlfn.XLOOKUP($A18, Inventory_Health!$A:$A, Inventory_Health!$C:$C)</f>
        <v>752</v>
      </c>
      <c r="I18">
        <f>_xlfn.XLOOKUP($A18, Inventory_Health!$A:$A, Inventory_Health!$D:$D)</f>
        <v>673</v>
      </c>
      <c r="J18">
        <f>IFERROR(_xlfn.XLOOKUP(A18,Ads_Performance[SKU],Ads_Performance[ACOS]),0)</f>
        <v>0.12093924018741084</v>
      </c>
      <c r="K18">
        <f>_xlfn.XLOOKUP($A18, 'Returns_Data'!$A:$A, 'Returns_Data'!$B:$B)</f>
        <v>28</v>
      </c>
      <c r="L18" t="str">
        <f t="shared" si="0"/>
        <v>Normal</v>
      </c>
      <c r="M18" t="str">
        <f t="shared" si="2"/>
        <v>Keep</v>
      </c>
      <c r="N18">
        <f t="shared" si="1"/>
        <v>76.8</v>
      </c>
    </row>
    <row r="19" spans="1:14" x14ac:dyDescent="0.3">
      <c r="A19" t="s">
        <v>28</v>
      </c>
      <c r="B19">
        <f>_xlfn.XLOOKUP(A19, Pricing_Data!A:A, Pricing_Data!H:H)</f>
        <v>4</v>
      </c>
      <c r="C19">
        <f>_xlfn.XLOOKUP(A19, Pricing_Data!A:A, Pricing_Data!N:N)</f>
        <v>10.831663326653308</v>
      </c>
      <c r="D19">
        <f>_xlfn.XLOOKUP(A19, Pricing_Data!A:A, Pricing_Data!O:O)</f>
        <v>10.847967887606623</v>
      </c>
      <c r="E19">
        <f>IFERROR(_xlfn.XLOOKUP(Pricing_Logic!A19,Competitor_Data[SKU],Competitor_Data[Avg_Competitor_Price]),0)</f>
        <v>14.8</v>
      </c>
      <c r="F19">
        <f>_xlfn.XLOOKUP($A19, Historical_Sales!$A:$A, Historical_Sales!$C:$C)</f>
        <v>1707</v>
      </c>
      <c r="G19">
        <f>_xlfn.XLOOKUP(A19,Historical_Sales[SKU],Historical_Sales[Total Units Ordered])</f>
        <v>207</v>
      </c>
      <c r="H19">
        <f>_xlfn.XLOOKUP($A19, Inventory_Health!$A:$A, Inventory_Health!$C:$C)</f>
        <v>166</v>
      </c>
      <c r="I19">
        <f>_xlfn.XLOOKUP($A19, Inventory_Health!$A:$A, Inventory_Health!$D:$D)</f>
        <v>123</v>
      </c>
      <c r="J19">
        <f>IFERROR(_xlfn.XLOOKUP(A19,Ads_Performance[SKU],Ads_Performance[ACOS]),0)</f>
        <v>0.61236025624921508</v>
      </c>
      <c r="K19">
        <f>_xlfn.XLOOKUP($A19, 'Returns_Data'!$A:$A, 'Returns_Data'!$B:$B)</f>
        <v>5</v>
      </c>
      <c r="L19" t="str">
        <f t="shared" si="0"/>
        <v>Normal</v>
      </c>
      <c r="M19" t="str">
        <f t="shared" si="2"/>
        <v>Keep</v>
      </c>
      <c r="N19">
        <f t="shared" si="1"/>
        <v>14.8</v>
      </c>
    </row>
    <row r="20" spans="1:14" x14ac:dyDescent="0.3">
      <c r="A20" t="s">
        <v>35</v>
      </c>
      <c r="B20">
        <f>_xlfn.XLOOKUP(A20, Pricing_Data!A:A, Pricing_Data!H:H)</f>
        <v>3</v>
      </c>
      <c r="C20">
        <f>_xlfn.XLOOKUP(A20, Pricing_Data!A:A, Pricing_Data!N:N)</f>
        <v>9.6793587174348694</v>
      </c>
      <c r="D20">
        <f>_xlfn.XLOOKUP(A20, Pricing_Data!A:A, Pricing_Data!O:O)</f>
        <v>9.6939287506271956</v>
      </c>
      <c r="E20">
        <f>IFERROR(_xlfn.XLOOKUP(Pricing_Logic!A20,Competitor_Data[SKU],Competitor_Data[Avg_Competitor_Price]),0)</f>
        <v>0</v>
      </c>
      <c r="F20">
        <f>_xlfn.XLOOKUP($A20, Historical_Sales!$A:$A, Historical_Sales!$C:$C)</f>
        <v>1139</v>
      </c>
      <c r="G20">
        <f>_xlfn.XLOOKUP(A20,Historical_Sales[SKU],Historical_Sales[Total Units Ordered])</f>
        <v>135</v>
      </c>
      <c r="H20">
        <f>_xlfn.XLOOKUP($A20, Inventory_Health!$A:$A, Inventory_Health!$C:$C)</f>
        <v>130</v>
      </c>
      <c r="I20">
        <f>_xlfn.XLOOKUP($A20, Inventory_Health!$A:$A, Inventory_Health!$D:$D)</f>
        <v>96</v>
      </c>
      <c r="J20">
        <f>IFERROR(_xlfn.XLOOKUP(A20,Ads_Performance[SKU],Ads_Performance[ACOS]),0)</f>
        <v>0.26204593157757644</v>
      </c>
      <c r="K20">
        <f>_xlfn.XLOOKUP($A20, 'Returns_Data'!$A:$A, 'Returns_Data'!$B:$B)</f>
        <v>7</v>
      </c>
      <c r="L20" t="str">
        <f t="shared" si="0"/>
        <v>Normal</v>
      </c>
      <c r="M20" t="str">
        <f t="shared" si="2"/>
        <v>Keep</v>
      </c>
      <c r="N20">
        <f t="shared" si="1"/>
        <v>9.6793587174348694</v>
      </c>
    </row>
    <row r="21" spans="1:14" x14ac:dyDescent="0.3">
      <c r="A21" t="s">
        <v>27</v>
      </c>
      <c r="B21">
        <f>_xlfn.XLOOKUP(A21, Pricing_Data!A:A, Pricing_Data!H:H)</f>
        <v>14</v>
      </c>
      <c r="C21">
        <f>_xlfn.XLOOKUP(A21, Pricing_Data!A:A, Pricing_Data!N:N)</f>
        <v>25.731462925851702</v>
      </c>
      <c r="D21">
        <f>_xlfn.XLOOKUP(A21, Pricing_Data!A:A, Pricing_Data!O:O)</f>
        <v>25.770195684897139</v>
      </c>
      <c r="E21">
        <f>IFERROR(_xlfn.XLOOKUP(Pricing_Logic!A21,Competitor_Data[SKU],Competitor_Data[Avg_Competitor_Price]),0)</f>
        <v>31.4</v>
      </c>
      <c r="F21">
        <f>_xlfn.XLOOKUP($A21, Historical_Sales!$A:$A, Historical_Sales!$C:$C)</f>
        <v>1046</v>
      </c>
      <c r="G21">
        <f>_xlfn.XLOOKUP(A21,Historical_Sales[SKU],Historical_Sales[Total Units Ordered])</f>
        <v>358</v>
      </c>
      <c r="H21">
        <f>_xlfn.XLOOKUP($A21, Inventory_Health!$A:$A, Inventory_Health!$C:$C)</f>
        <v>159</v>
      </c>
      <c r="I21">
        <f>_xlfn.XLOOKUP($A21, Inventory_Health!$A:$A, Inventory_Health!$D:$D)</f>
        <v>82</v>
      </c>
      <c r="J21">
        <f>IFERROR(_xlfn.XLOOKUP(A21,Ads_Performance[SKU],Ads_Performance[ACOS]),0)</f>
        <v>8.4085033596683803E-2</v>
      </c>
      <c r="K21">
        <f>_xlfn.XLOOKUP($A21, 'Returns_Data'!$A:$A, 'Returns_Data'!$B:$B)</f>
        <v>3</v>
      </c>
      <c r="L21" t="str">
        <f t="shared" si="0"/>
        <v>Normal</v>
      </c>
      <c r="M21" t="str">
        <f t="shared" si="2"/>
        <v>Keep</v>
      </c>
      <c r="N21">
        <f t="shared" si="1"/>
        <v>31.4</v>
      </c>
    </row>
    <row r="22" spans="1:14" x14ac:dyDescent="0.3">
      <c r="A22" t="s">
        <v>29</v>
      </c>
      <c r="B22">
        <f>_xlfn.XLOOKUP(A22, Pricing_Data!A:A, Pricing_Data!H:H)</f>
        <v>11</v>
      </c>
      <c r="C22">
        <f>_xlfn.XLOOKUP(A22, Pricing_Data!A:A, Pricing_Data!N:N)</f>
        <v>21.032064128256515</v>
      </c>
      <c r="D22">
        <f>_xlfn.XLOOKUP(A22, Pricing_Data!A:A, Pricing_Data!O:O)</f>
        <v>21.063723030607125</v>
      </c>
      <c r="E22">
        <f>IFERROR(_xlfn.XLOOKUP(Pricing_Logic!A22,Competitor_Data[SKU],Competitor_Data[Avg_Competitor_Price]),0)</f>
        <v>28.9</v>
      </c>
      <c r="F22">
        <f>_xlfn.XLOOKUP($A22, Historical_Sales!$A:$A, Historical_Sales!$C:$C)</f>
        <v>736</v>
      </c>
      <c r="G22">
        <f>_xlfn.XLOOKUP(A22,Historical_Sales[SKU],Historical_Sales[Total Units Ordered])</f>
        <v>173</v>
      </c>
      <c r="H22">
        <f>_xlfn.XLOOKUP($A22, Inventory_Health!$A:$A, Inventory_Health!$C:$C)</f>
        <v>177</v>
      </c>
      <c r="I22">
        <f>_xlfn.XLOOKUP($A22, Inventory_Health!$A:$A, Inventory_Health!$D:$D)</f>
        <v>109</v>
      </c>
      <c r="J22">
        <f>IFERROR(_xlfn.XLOOKUP(A22,Ads_Performance[SKU],Ads_Performance[ACOS]),0)</f>
        <v>0.23234757686294946</v>
      </c>
      <c r="K22">
        <f>_xlfn.XLOOKUP($A22, 'Returns_Data'!$A:$A, 'Returns_Data'!$B:$B)</f>
        <v>3</v>
      </c>
      <c r="L22" t="str">
        <f t="shared" si="0"/>
        <v>Normal</v>
      </c>
      <c r="M22" t="str">
        <f t="shared" si="2"/>
        <v>Keep</v>
      </c>
      <c r="N22">
        <f t="shared" si="1"/>
        <v>28.9</v>
      </c>
    </row>
    <row r="23" spans="1:14" x14ac:dyDescent="0.3">
      <c r="A23" t="s">
        <v>25</v>
      </c>
      <c r="B23">
        <f>_xlfn.XLOOKUP(A23, Pricing_Data!A:A, Pricing_Data!H:H)</f>
        <v>34</v>
      </c>
      <c r="C23">
        <f>_xlfn.XLOOKUP(A23, Pricing_Data!A:A, Pricing_Data!N:N)</f>
        <v>55.450901803607216</v>
      </c>
      <c r="D23">
        <f>_xlfn.XLOOKUP(A23, Pricing_Data!A:A, Pricing_Data!O:O)</f>
        <v>55.53437029603613</v>
      </c>
      <c r="E23">
        <f>IFERROR(_xlfn.XLOOKUP(Pricing_Logic!A23,Competitor_Data[SKU],Competitor_Data[Avg_Competitor_Price]),0)</f>
        <v>80.400000000000006</v>
      </c>
      <c r="F23">
        <f>_xlfn.XLOOKUP($A23, Historical_Sales!$A:$A, Historical_Sales!$C:$C)</f>
        <v>834</v>
      </c>
      <c r="G23">
        <f>_xlfn.XLOOKUP(A23,Historical_Sales[SKU],Historical_Sales[Total Units Ordered])</f>
        <v>306</v>
      </c>
      <c r="H23">
        <f>_xlfn.XLOOKUP($A23, Inventory_Health!$A:$A, Inventory_Health!$C:$C)</f>
        <v>256</v>
      </c>
      <c r="I23">
        <f>_xlfn.XLOOKUP($A23, Inventory_Health!$A:$A, Inventory_Health!$D:$D)</f>
        <v>241</v>
      </c>
      <c r="J23">
        <f>IFERROR(_xlfn.XLOOKUP(A23,Ads_Performance[SKU],Ads_Performance[ACOS]),0)</f>
        <v>0.10678864653965672</v>
      </c>
      <c r="K23">
        <f>_xlfn.XLOOKUP($A23, 'Returns_Data'!$A:$A, 'Returns_Data'!$B:$B)</f>
        <v>10</v>
      </c>
      <c r="L23" t="str">
        <f t="shared" si="0"/>
        <v>Normal</v>
      </c>
      <c r="M23" t="str">
        <f t="shared" si="2"/>
        <v>Keep</v>
      </c>
      <c r="N23">
        <f t="shared" si="1"/>
        <v>80.400000000000006</v>
      </c>
    </row>
    <row r="24" spans="1:14" x14ac:dyDescent="0.3">
      <c r="A24" t="s">
        <v>26</v>
      </c>
      <c r="B24">
        <f>_xlfn.XLOOKUP(A24, Pricing_Data!A:A, Pricing_Data!H:H)</f>
        <v>44</v>
      </c>
      <c r="C24">
        <f>_xlfn.XLOOKUP(A24, Pricing_Data!A:A, Pricing_Data!N:N)</f>
        <v>69.118236472945895</v>
      </c>
      <c r="D24">
        <f>_xlfn.XLOOKUP(A24, Pricing_Data!A:A, Pricing_Data!O:O)</f>
        <v>69.222277972905175</v>
      </c>
      <c r="E24">
        <f>IFERROR(_xlfn.XLOOKUP(Pricing_Logic!A24,Competitor_Data[SKU],Competitor_Data[Avg_Competitor_Price]),0)</f>
        <v>88.2</v>
      </c>
      <c r="F24">
        <f>_xlfn.XLOOKUP($A24, Historical_Sales!$A:$A, Historical_Sales!$C:$C)</f>
        <v>983</v>
      </c>
      <c r="G24">
        <f>_xlfn.XLOOKUP(A24,Historical_Sales[SKU],Historical_Sales[Total Units Ordered])</f>
        <v>288</v>
      </c>
      <c r="H24">
        <f>_xlfn.XLOOKUP($A24, Inventory_Health!$A:$A, Inventory_Health!$C:$C)</f>
        <v>210</v>
      </c>
      <c r="I24">
        <f>_xlfn.XLOOKUP($A24, Inventory_Health!$A:$A, Inventory_Health!$D:$D)</f>
        <v>196</v>
      </c>
      <c r="J24">
        <f>IFERROR(_xlfn.XLOOKUP(A24,Ads_Performance[SKU],Ads_Performance[ACOS]),0)</f>
        <v>0.11977515764538038</v>
      </c>
      <c r="K24">
        <f>_xlfn.XLOOKUP($A24, 'Returns_Data'!$A:$A, 'Returns_Data'!$B:$B)</f>
        <v>1</v>
      </c>
      <c r="L24" t="str">
        <f t="shared" si="0"/>
        <v>Normal</v>
      </c>
      <c r="M24" t="str">
        <f t="shared" si="2"/>
        <v>Keep</v>
      </c>
      <c r="N24">
        <f t="shared" si="1"/>
        <v>88.2</v>
      </c>
    </row>
    <row r="25" spans="1:14" x14ac:dyDescent="0.3">
      <c r="A25" t="s">
        <v>42</v>
      </c>
      <c r="B25">
        <f>_xlfn.XLOOKUP(A25, Pricing_Data!A:A, Pricing_Data!H:H)</f>
        <v>16</v>
      </c>
      <c r="C25">
        <f>_xlfn.XLOOKUP(A25, Pricing_Data!A:A, Pricing_Data!N:N)</f>
        <v>30.621242484969944</v>
      </c>
      <c r="D25">
        <f>_xlfn.XLOOKUP(A25, Pricing_Data!A:A, Pricing_Data!O:O)</f>
        <v>30.667335674862017</v>
      </c>
      <c r="E25">
        <f>IFERROR(_xlfn.XLOOKUP(Pricing_Logic!A25,Competitor_Data[SKU],Competitor_Data[Avg_Competitor_Price]),0)</f>
        <v>33.1</v>
      </c>
      <c r="F25">
        <f>_xlfn.XLOOKUP($A25, Historical_Sales!$A:$A, Historical_Sales!$C:$C)</f>
        <v>3014</v>
      </c>
      <c r="G25">
        <f>_xlfn.XLOOKUP(A25,Historical_Sales[SKU],Historical_Sales[Total Units Ordered])</f>
        <v>380</v>
      </c>
      <c r="H25">
        <f>_xlfn.XLOOKUP($A25, Inventory_Health!$A:$A, Inventory_Health!$C:$C)</f>
        <v>196</v>
      </c>
      <c r="I25">
        <f>_xlfn.XLOOKUP($A25, Inventory_Health!$A:$A, Inventory_Health!$D:$D)</f>
        <v>156</v>
      </c>
      <c r="J25">
        <f>IFERROR(_xlfn.XLOOKUP(A25,Ads_Performance[SKU],Ads_Performance[ACOS]),0)</f>
        <v>0.22644630715772676</v>
      </c>
      <c r="K25">
        <f>_xlfn.XLOOKUP($A25, 'Returns_Data'!$A:$A, 'Returns_Data'!$B:$B)</f>
        <v>7</v>
      </c>
      <c r="L25" t="str">
        <f t="shared" si="0"/>
        <v>Normal</v>
      </c>
      <c r="M25" t="str">
        <f t="shared" si="2"/>
        <v>Keep</v>
      </c>
      <c r="N25">
        <f t="shared" si="1"/>
        <v>33.1</v>
      </c>
    </row>
    <row r="26" spans="1:14" x14ac:dyDescent="0.3">
      <c r="A26" t="s">
        <v>33</v>
      </c>
      <c r="B26">
        <f>_xlfn.XLOOKUP(A26, Pricing_Data!A:A, Pricing_Data!H:H)</f>
        <v>14</v>
      </c>
      <c r="C26">
        <f>_xlfn.XLOOKUP(A26, Pricing_Data!A:A, Pricing_Data!N:N)</f>
        <v>27.655310621242485</v>
      </c>
      <c r="D26">
        <f>_xlfn.XLOOKUP(A26, Pricing_Data!A:A, Pricing_Data!O:O)</f>
        <v>27.696939287506272</v>
      </c>
      <c r="E26">
        <f>IFERROR(_xlfn.XLOOKUP(Pricing_Logic!A26,Competitor_Data[SKU],Competitor_Data[Avg_Competitor_Price]),0)</f>
        <v>30.2</v>
      </c>
      <c r="F26">
        <f>_xlfn.XLOOKUP($A26, Historical_Sales!$A:$A, Historical_Sales!$C:$C)</f>
        <v>2424</v>
      </c>
      <c r="G26">
        <f>_xlfn.XLOOKUP(A26,Historical_Sales[SKU],Historical_Sales[Total Units Ordered])</f>
        <v>361</v>
      </c>
      <c r="H26">
        <f>_xlfn.XLOOKUP($A26, Inventory_Health!$A:$A, Inventory_Health!$C:$C)</f>
        <v>217</v>
      </c>
      <c r="I26">
        <f>_xlfn.XLOOKUP($A26, Inventory_Health!$A:$A, Inventory_Health!$D:$D)</f>
        <v>76</v>
      </c>
      <c r="J26">
        <f>IFERROR(_xlfn.XLOOKUP(A26,Ads_Performance[SKU],Ads_Performance[ACOS]),0)</f>
        <v>0.15942008434750055</v>
      </c>
      <c r="K26">
        <f>_xlfn.XLOOKUP($A26, 'Returns_Data'!$A:$A, 'Returns_Data'!$B:$B)</f>
        <v>10</v>
      </c>
      <c r="L26" t="str">
        <f t="shared" si="0"/>
        <v>Normal</v>
      </c>
      <c r="M26" t="str">
        <f t="shared" si="2"/>
        <v>Keep</v>
      </c>
      <c r="N26">
        <f t="shared" si="1"/>
        <v>30.2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AEBB-991B-4234-AAB0-52D9A2531AAA}">
  <dimension ref="A1:G51"/>
  <sheetViews>
    <sheetView workbookViewId="0">
      <selection sqref="A1:G4244"/>
    </sheetView>
  </sheetViews>
  <sheetFormatPr defaultRowHeight="14.4" x14ac:dyDescent="0.3"/>
  <cols>
    <col min="1" max="1" width="6.6640625" bestFit="1" customWidth="1"/>
    <col min="2" max="2" width="15.5546875" bestFit="1" customWidth="1"/>
    <col min="3" max="3" width="17.44140625" bestFit="1" customWidth="1"/>
    <col min="4" max="4" width="19.77734375" bestFit="1" customWidth="1"/>
    <col min="5" max="5" width="12.109375" bestFit="1" customWidth="1"/>
    <col min="6" max="6" width="17.88671875" bestFit="1" customWidth="1"/>
    <col min="7" max="7" width="17.5546875" bestFit="1" customWidth="1"/>
    <col min="8" max="8" width="16.109375" bestFit="1" customWidth="1"/>
    <col min="9" max="9" width="18.5546875" bestFit="1" customWidth="1"/>
    <col min="10" max="10" width="14.88671875" bestFit="1" customWidth="1"/>
    <col min="11" max="11" width="22.109375" bestFit="1" customWidth="1"/>
    <col min="12" max="12" width="17.88671875" bestFit="1" customWidth="1"/>
  </cols>
  <sheetData>
    <row r="1" spans="1:7" x14ac:dyDescent="0.3">
      <c r="A1" t="s">
        <v>0</v>
      </c>
      <c r="B1" t="s">
        <v>174</v>
      </c>
      <c r="C1" t="s">
        <v>175</v>
      </c>
      <c r="D1" t="s">
        <v>176</v>
      </c>
      <c r="E1" t="s">
        <v>177</v>
      </c>
      <c r="F1" t="s">
        <v>72</v>
      </c>
      <c r="G1" t="s">
        <v>178</v>
      </c>
    </row>
    <row r="2" spans="1:7" x14ac:dyDescent="0.3">
      <c r="A2" t="s">
        <v>23</v>
      </c>
      <c r="B2">
        <v>1921</v>
      </c>
      <c r="C2">
        <v>2484</v>
      </c>
      <c r="D2">
        <v>587</v>
      </c>
      <c r="E2">
        <v>24582.010000000002</v>
      </c>
      <c r="F2">
        <v>475</v>
      </c>
      <c r="G2">
        <v>0.3055700156168662</v>
      </c>
    </row>
    <row r="3" spans="1:7" x14ac:dyDescent="0.3">
      <c r="A3" t="s">
        <v>34</v>
      </c>
      <c r="B3">
        <v>1842</v>
      </c>
      <c r="C3">
        <v>2440</v>
      </c>
      <c r="D3">
        <v>431</v>
      </c>
      <c r="E3">
        <v>15678.890000000003</v>
      </c>
      <c r="F3">
        <v>326</v>
      </c>
      <c r="G3">
        <v>0.23398479913137893</v>
      </c>
    </row>
    <row r="4" spans="1:7" x14ac:dyDescent="0.3">
      <c r="A4" t="s">
        <v>31</v>
      </c>
      <c r="B4">
        <v>859</v>
      </c>
      <c r="C4">
        <v>1135</v>
      </c>
      <c r="D4">
        <v>196</v>
      </c>
      <c r="E4">
        <v>7340.6500000000015</v>
      </c>
      <c r="F4">
        <v>152</v>
      </c>
      <c r="G4">
        <v>0.22817229336437719</v>
      </c>
    </row>
    <row r="5" spans="1:7" x14ac:dyDescent="0.3">
      <c r="A5" t="s">
        <v>30</v>
      </c>
      <c r="B5">
        <v>1815</v>
      </c>
      <c r="C5">
        <v>2553</v>
      </c>
      <c r="D5">
        <v>236</v>
      </c>
      <c r="E5">
        <v>8815.0300000000007</v>
      </c>
      <c r="F5">
        <v>221</v>
      </c>
      <c r="G5">
        <v>0.13002754820936638</v>
      </c>
    </row>
    <row r="6" spans="1:7" x14ac:dyDescent="0.3">
      <c r="A6" t="s">
        <v>45</v>
      </c>
      <c r="B6">
        <v>515</v>
      </c>
      <c r="C6">
        <v>670</v>
      </c>
      <c r="D6">
        <v>81</v>
      </c>
      <c r="E6">
        <v>1347.6100000000004</v>
      </c>
      <c r="F6">
        <v>72</v>
      </c>
      <c r="G6">
        <v>0.15728155339805824</v>
      </c>
    </row>
    <row r="7" spans="1:7" x14ac:dyDescent="0.3">
      <c r="A7" t="s">
        <v>47</v>
      </c>
      <c r="B7">
        <v>1292</v>
      </c>
      <c r="C7">
        <v>1716</v>
      </c>
      <c r="D7">
        <v>230</v>
      </c>
      <c r="E7">
        <v>5079.01</v>
      </c>
      <c r="F7">
        <v>201</v>
      </c>
      <c r="G7">
        <v>0.17801857585139319</v>
      </c>
    </row>
    <row r="8" spans="1:7" x14ac:dyDescent="0.3">
      <c r="A8" t="s">
        <v>7</v>
      </c>
      <c r="B8">
        <v>4116</v>
      </c>
      <c r="C8">
        <v>5561</v>
      </c>
      <c r="D8">
        <v>484</v>
      </c>
      <c r="E8">
        <v>11960.960000000001</v>
      </c>
      <c r="F8">
        <v>451</v>
      </c>
      <c r="G8">
        <v>0.11758989310009718</v>
      </c>
    </row>
    <row r="9" spans="1:7" x14ac:dyDescent="0.3">
      <c r="A9" t="s">
        <v>4</v>
      </c>
      <c r="B9">
        <v>4361</v>
      </c>
      <c r="C9">
        <v>6256</v>
      </c>
      <c r="D9">
        <v>1399</v>
      </c>
      <c r="E9">
        <v>41676.879999999997</v>
      </c>
      <c r="F9">
        <v>1058</v>
      </c>
      <c r="G9">
        <v>0.32079798211419397</v>
      </c>
    </row>
    <row r="10" spans="1:7" x14ac:dyDescent="0.3">
      <c r="A10" t="s">
        <v>3</v>
      </c>
      <c r="B10">
        <v>10412</v>
      </c>
      <c r="C10">
        <v>13944</v>
      </c>
      <c r="D10">
        <v>2379</v>
      </c>
      <c r="E10">
        <v>58379.780000000021</v>
      </c>
      <c r="F10">
        <v>2169</v>
      </c>
      <c r="G10">
        <v>0.22848636189012678</v>
      </c>
    </row>
    <row r="11" spans="1:7" x14ac:dyDescent="0.3">
      <c r="A11" t="s">
        <v>1</v>
      </c>
      <c r="B11">
        <v>2762</v>
      </c>
      <c r="C11">
        <v>3682</v>
      </c>
      <c r="D11">
        <v>490</v>
      </c>
      <c r="E11">
        <v>11061.320000000005</v>
      </c>
      <c r="F11">
        <v>455</v>
      </c>
      <c r="G11">
        <v>0.17740767559739321</v>
      </c>
    </row>
    <row r="12" spans="1:7" x14ac:dyDescent="0.3">
      <c r="A12" t="s">
        <v>5</v>
      </c>
      <c r="B12">
        <v>3294</v>
      </c>
      <c r="C12">
        <v>4417</v>
      </c>
      <c r="D12">
        <v>762</v>
      </c>
      <c r="E12">
        <v>23389.159999999996</v>
      </c>
      <c r="F12">
        <v>588</v>
      </c>
      <c r="G12">
        <v>0.23132969034608378</v>
      </c>
    </row>
    <row r="13" spans="1:7" x14ac:dyDescent="0.3">
      <c r="A13" t="s">
        <v>38</v>
      </c>
      <c r="B13">
        <v>2579</v>
      </c>
      <c r="C13">
        <v>3705</v>
      </c>
      <c r="D13">
        <v>819</v>
      </c>
      <c r="E13">
        <v>23184.52</v>
      </c>
      <c r="F13">
        <v>571</v>
      </c>
      <c r="G13">
        <v>0.31756494765412951</v>
      </c>
    </row>
    <row r="14" spans="1:7" x14ac:dyDescent="0.3">
      <c r="A14" t="s">
        <v>9</v>
      </c>
      <c r="B14">
        <v>9424</v>
      </c>
      <c r="C14">
        <v>13502</v>
      </c>
      <c r="D14">
        <v>1645</v>
      </c>
      <c r="E14">
        <v>69270.689999999959</v>
      </c>
      <c r="F14">
        <v>1546</v>
      </c>
      <c r="G14">
        <v>0.17455432937181664</v>
      </c>
    </row>
    <row r="15" spans="1:7" x14ac:dyDescent="0.3">
      <c r="A15" t="s">
        <v>32</v>
      </c>
      <c r="B15">
        <v>10025</v>
      </c>
      <c r="C15">
        <v>13583</v>
      </c>
      <c r="D15">
        <v>1653</v>
      </c>
      <c r="E15">
        <v>22784.58</v>
      </c>
      <c r="F15">
        <v>1484</v>
      </c>
      <c r="G15">
        <v>0.16488778054862843</v>
      </c>
    </row>
    <row r="16" spans="1:7" x14ac:dyDescent="0.3">
      <c r="A16" t="s">
        <v>36</v>
      </c>
      <c r="B16">
        <v>4057</v>
      </c>
      <c r="C16">
        <v>5444</v>
      </c>
      <c r="D16">
        <v>583</v>
      </c>
      <c r="E16">
        <v>13480.54</v>
      </c>
      <c r="F16">
        <v>497</v>
      </c>
      <c r="G16">
        <v>0.14370224303672666</v>
      </c>
    </row>
    <row r="17" spans="1:7" x14ac:dyDescent="0.3">
      <c r="A17" t="s">
        <v>8</v>
      </c>
      <c r="B17">
        <v>3084</v>
      </c>
      <c r="C17">
        <v>4318</v>
      </c>
      <c r="D17">
        <v>722</v>
      </c>
      <c r="E17">
        <v>16857.39</v>
      </c>
      <c r="F17">
        <v>656</v>
      </c>
      <c r="G17">
        <v>0.23411154345006485</v>
      </c>
    </row>
    <row r="18" spans="1:7" x14ac:dyDescent="0.3">
      <c r="A18" t="s">
        <v>41</v>
      </c>
      <c r="B18">
        <v>3042</v>
      </c>
      <c r="C18">
        <v>3957</v>
      </c>
      <c r="D18">
        <v>661</v>
      </c>
      <c r="E18">
        <v>7706.7700000000013</v>
      </c>
      <c r="F18">
        <v>632</v>
      </c>
      <c r="G18">
        <v>0.2172912557527942</v>
      </c>
    </row>
    <row r="19" spans="1:7" x14ac:dyDescent="0.3">
      <c r="A19" t="s">
        <v>37</v>
      </c>
      <c r="B19">
        <v>4106</v>
      </c>
      <c r="C19">
        <v>5392</v>
      </c>
      <c r="D19">
        <v>479</v>
      </c>
      <c r="E19">
        <v>10530.789999999997</v>
      </c>
      <c r="F19">
        <v>448</v>
      </c>
      <c r="G19">
        <v>0.11665854846566001</v>
      </c>
    </row>
    <row r="20" spans="1:7" x14ac:dyDescent="0.3">
      <c r="A20" t="s">
        <v>6</v>
      </c>
      <c r="B20">
        <v>9214</v>
      </c>
      <c r="C20">
        <v>13121</v>
      </c>
      <c r="D20">
        <v>4471</v>
      </c>
      <c r="E20">
        <v>162093.75999999995</v>
      </c>
      <c r="F20">
        <v>3059</v>
      </c>
      <c r="G20">
        <v>0.48523985239852396</v>
      </c>
    </row>
    <row r="21" spans="1:7" x14ac:dyDescent="0.3">
      <c r="A21" t="s">
        <v>12</v>
      </c>
      <c r="B21">
        <v>2182</v>
      </c>
      <c r="C21">
        <v>2961</v>
      </c>
      <c r="D21">
        <v>1663</v>
      </c>
      <c r="E21">
        <v>51943.059999999983</v>
      </c>
      <c r="F21">
        <v>841</v>
      </c>
      <c r="G21">
        <v>0.76214482126489458</v>
      </c>
    </row>
    <row r="22" spans="1:7" x14ac:dyDescent="0.3">
      <c r="A22" t="s">
        <v>13</v>
      </c>
      <c r="B22">
        <v>1931</v>
      </c>
      <c r="C22">
        <v>2609</v>
      </c>
      <c r="D22">
        <v>1257</v>
      </c>
      <c r="E22">
        <v>37075.549999999996</v>
      </c>
      <c r="F22">
        <v>831</v>
      </c>
      <c r="G22">
        <v>0.65095805282237185</v>
      </c>
    </row>
    <row r="23" spans="1:7" x14ac:dyDescent="0.3">
      <c r="A23" t="s">
        <v>14</v>
      </c>
      <c r="B23">
        <v>4178</v>
      </c>
      <c r="C23">
        <v>5516</v>
      </c>
      <c r="D23">
        <v>2480</v>
      </c>
      <c r="E23">
        <v>67191.910000000018</v>
      </c>
      <c r="F23">
        <v>1727</v>
      </c>
      <c r="G23">
        <v>0.59358544758257537</v>
      </c>
    </row>
    <row r="24" spans="1:7" x14ac:dyDescent="0.3">
      <c r="A24" t="s">
        <v>15</v>
      </c>
      <c r="B24">
        <v>4150</v>
      </c>
      <c r="C24">
        <v>5346</v>
      </c>
      <c r="D24">
        <v>1519</v>
      </c>
      <c r="E24">
        <v>35927.679999999993</v>
      </c>
      <c r="F24">
        <v>1094</v>
      </c>
      <c r="G24">
        <v>0.36602409638554217</v>
      </c>
    </row>
    <row r="25" spans="1:7" x14ac:dyDescent="0.3">
      <c r="A25" t="s">
        <v>16</v>
      </c>
      <c r="B25">
        <v>2755</v>
      </c>
      <c r="C25">
        <v>3771</v>
      </c>
      <c r="D25">
        <v>688</v>
      </c>
      <c r="E25">
        <v>25371.019999999997</v>
      </c>
      <c r="F25">
        <v>476</v>
      </c>
      <c r="G25">
        <v>0.24972776769509983</v>
      </c>
    </row>
    <row r="26" spans="1:7" x14ac:dyDescent="0.3">
      <c r="A26" t="s">
        <v>48</v>
      </c>
      <c r="B26">
        <v>1166</v>
      </c>
      <c r="C26">
        <v>1584</v>
      </c>
      <c r="D26">
        <v>355</v>
      </c>
      <c r="E26">
        <v>11109.329999999998</v>
      </c>
      <c r="F26">
        <v>266</v>
      </c>
      <c r="G26">
        <v>0.30445969125214406</v>
      </c>
    </row>
    <row r="27" spans="1:7" x14ac:dyDescent="0.3">
      <c r="A27" t="s">
        <v>17</v>
      </c>
      <c r="B27">
        <v>1133</v>
      </c>
      <c r="C27">
        <v>1484</v>
      </c>
      <c r="D27">
        <v>533</v>
      </c>
      <c r="E27">
        <v>15247.310000000005</v>
      </c>
      <c r="F27">
        <v>342</v>
      </c>
      <c r="G27">
        <v>0.47043248014121802</v>
      </c>
    </row>
    <row r="28" spans="1:7" x14ac:dyDescent="0.3">
      <c r="A28" t="s">
        <v>18</v>
      </c>
      <c r="B28">
        <v>927</v>
      </c>
      <c r="C28">
        <v>1184</v>
      </c>
      <c r="D28">
        <v>388</v>
      </c>
      <c r="E28">
        <v>10415.600000000004</v>
      </c>
      <c r="F28">
        <v>267</v>
      </c>
      <c r="G28">
        <v>0.418554476806904</v>
      </c>
    </row>
    <row r="29" spans="1:7" x14ac:dyDescent="0.3">
      <c r="A29" t="s">
        <v>19</v>
      </c>
      <c r="B29">
        <v>1610</v>
      </c>
      <c r="C29">
        <v>2106</v>
      </c>
      <c r="D29">
        <v>1001</v>
      </c>
      <c r="E29">
        <v>34351.539999999979</v>
      </c>
      <c r="F29">
        <v>536</v>
      </c>
      <c r="G29">
        <v>0.62173913043478257</v>
      </c>
    </row>
    <row r="30" spans="1:7" x14ac:dyDescent="0.3">
      <c r="A30" t="s">
        <v>20</v>
      </c>
      <c r="B30">
        <v>1039</v>
      </c>
      <c r="C30">
        <v>1418</v>
      </c>
      <c r="D30">
        <v>417</v>
      </c>
      <c r="E30">
        <v>14231.61</v>
      </c>
      <c r="F30">
        <v>282</v>
      </c>
      <c r="G30">
        <v>0.40134744947064482</v>
      </c>
    </row>
    <row r="31" spans="1:7" x14ac:dyDescent="0.3">
      <c r="A31" t="s">
        <v>46</v>
      </c>
      <c r="B31">
        <v>8393</v>
      </c>
      <c r="C31">
        <v>11890</v>
      </c>
      <c r="D31">
        <v>2255</v>
      </c>
      <c r="E31">
        <v>76049.52</v>
      </c>
      <c r="F31">
        <v>2122</v>
      </c>
      <c r="G31">
        <v>0.26867627785058978</v>
      </c>
    </row>
    <row r="32" spans="1:7" x14ac:dyDescent="0.3">
      <c r="A32" t="s">
        <v>51</v>
      </c>
      <c r="B32">
        <v>4840</v>
      </c>
      <c r="C32">
        <v>6456</v>
      </c>
      <c r="D32">
        <v>1578</v>
      </c>
      <c r="E32">
        <v>51402.66</v>
      </c>
      <c r="F32">
        <v>777</v>
      </c>
      <c r="G32">
        <v>0.32603305785123965</v>
      </c>
    </row>
    <row r="33" spans="1:7" x14ac:dyDescent="0.3">
      <c r="A33" t="s">
        <v>40</v>
      </c>
      <c r="B33">
        <v>929</v>
      </c>
      <c r="C33">
        <v>1176</v>
      </c>
      <c r="D33">
        <v>282</v>
      </c>
      <c r="E33">
        <v>7554.4500000000007</v>
      </c>
      <c r="F33">
        <v>193</v>
      </c>
      <c r="G33">
        <v>0.30355220667384286</v>
      </c>
    </row>
    <row r="34" spans="1:7" x14ac:dyDescent="0.3">
      <c r="A34" t="s">
        <v>24</v>
      </c>
      <c r="B34">
        <v>1767</v>
      </c>
      <c r="C34">
        <v>2333</v>
      </c>
      <c r="D34">
        <v>883</v>
      </c>
      <c r="E34">
        <v>23039.629999999994</v>
      </c>
      <c r="F34">
        <v>583</v>
      </c>
      <c r="G34">
        <v>0.49971703452178834</v>
      </c>
    </row>
    <row r="35" spans="1:7" x14ac:dyDescent="0.3">
      <c r="A35" t="s">
        <v>21</v>
      </c>
      <c r="B35">
        <v>2046</v>
      </c>
      <c r="C35">
        <v>2779</v>
      </c>
      <c r="D35">
        <v>1613</v>
      </c>
      <c r="E35">
        <v>124522.15999999997</v>
      </c>
      <c r="F35">
        <v>823</v>
      </c>
      <c r="G35">
        <v>0.78836754643206253</v>
      </c>
    </row>
    <row r="36" spans="1:7" x14ac:dyDescent="0.3">
      <c r="A36" t="s">
        <v>22</v>
      </c>
      <c r="B36">
        <v>1967</v>
      </c>
      <c r="C36">
        <v>2608</v>
      </c>
      <c r="D36">
        <v>1267</v>
      </c>
      <c r="E36">
        <v>90693.930000000022</v>
      </c>
      <c r="F36">
        <v>626</v>
      </c>
      <c r="G36">
        <v>0.64412811387900359</v>
      </c>
    </row>
    <row r="37" spans="1:7" x14ac:dyDescent="0.3">
      <c r="A37" t="s">
        <v>28</v>
      </c>
      <c r="B37">
        <v>1404</v>
      </c>
      <c r="C37">
        <v>1707</v>
      </c>
      <c r="D37">
        <v>207</v>
      </c>
      <c r="E37">
        <v>2794.2300000000005</v>
      </c>
      <c r="F37">
        <v>186</v>
      </c>
      <c r="G37">
        <v>0.14743589743589744</v>
      </c>
    </row>
    <row r="38" spans="1:7" x14ac:dyDescent="0.3">
      <c r="A38" t="s">
        <v>27</v>
      </c>
      <c r="B38">
        <v>842</v>
      </c>
      <c r="C38">
        <v>1046</v>
      </c>
      <c r="D38">
        <v>358</v>
      </c>
      <c r="E38">
        <v>11995.8</v>
      </c>
      <c r="F38">
        <v>167</v>
      </c>
      <c r="G38">
        <v>0.42517814726840852</v>
      </c>
    </row>
    <row r="39" spans="1:7" x14ac:dyDescent="0.3">
      <c r="A39" t="s">
        <v>25</v>
      </c>
      <c r="B39">
        <v>635</v>
      </c>
      <c r="C39">
        <v>834</v>
      </c>
      <c r="D39">
        <v>306</v>
      </c>
      <c r="E39">
        <v>23508.049999999988</v>
      </c>
      <c r="F39">
        <v>183</v>
      </c>
      <c r="G39">
        <v>0.48188976377952758</v>
      </c>
    </row>
    <row r="40" spans="1:7" x14ac:dyDescent="0.3">
      <c r="A40" t="s">
        <v>26</v>
      </c>
      <c r="B40">
        <v>751</v>
      </c>
      <c r="C40">
        <v>983</v>
      </c>
      <c r="D40">
        <v>288</v>
      </c>
      <c r="E40">
        <v>25328.420000000006</v>
      </c>
      <c r="F40">
        <v>187</v>
      </c>
      <c r="G40">
        <v>0.38348868175765644</v>
      </c>
    </row>
    <row r="41" spans="1:7" x14ac:dyDescent="0.3">
      <c r="A41" t="s">
        <v>39</v>
      </c>
      <c r="B41">
        <v>604</v>
      </c>
      <c r="C41">
        <v>783</v>
      </c>
      <c r="D41">
        <v>191</v>
      </c>
      <c r="E41">
        <v>6002.7199999999993</v>
      </c>
      <c r="F41">
        <v>126</v>
      </c>
      <c r="G41">
        <v>0.31622516556291391</v>
      </c>
    </row>
    <row r="42" spans="1:7" x14ac:dyDescent="0.3">
      <c r="A42" t="s">
        <v>43</v>
      </c>
      <c r="B42">
        <v>1762</v>
      </c>
      <c r="C42">
        <v>2347</v>
      </c>
      <c r="D42">
        <v>236</v>
      </c>
      <c r="E42">
        <v>4487.0199999999995</v>
      </c>
      <c r="F42">
        <v>217</v>
      </c>
      <c r="G42">
        <v>0.13393870601589103</v>
      </c>
    </row>
    <row r="43" spans="1:7" x14ac:dyDescent="0.3">
      <c r="A43" t="s">
        <v>11</v>
      </c>
      <c r="B43">
        <v>2040</v>
      </c>
      <c r="C43">
        <v>2642</v>
      </c>
      <c r="D43">
        <v>352</v>
      </c>
      <c r="E43">
        <v>7675.7799999999988</v>
      </c>
      <c r="F43">
        <v>332</v>
      </c>
      <c r="G43">
        <v>0.17254901960784313</v>
      </c>
    </row>
    <row r="44" spans="1:7" x14ac:dyDescent="0.3">
      <c r="A44" t="s">
        <v>10</v>
      </c>
      <c r="B44">
        <v>845</v>
      </c>
      <c r="C44">
        <v>1160</v>
      </c>
      <c r="D44">
        <v>252</v>
      </c>
      <c r="E44">
        <v>7781.3400000000011</v>
      </c>
      <c r="F44">
        <v>186</v>
      </c>
      <c r="G44">
        <v>0.29822485207100591</v>
      </c>
    </row>
    <row r="45" spans="1:7" x14ac:dyDescent="0.3">
      <c r="A45" t="s">
        <v>33</v>
      </c>
      <c r="B45">
        <v>1803</v>
      </c>
      <c r="C45">
        <v>2424</v>
      </c>
      <c r="D45">
        <v>361</v>
      </c>
      <c r="E45">
        <v>10947.320000000002</v>
      </c>
      <c r="F45">
        <v>261</v>
      </c>
      <c r="G45">
        <v>0.2002218524681087</v>
      </c>
    </row>
    <row r="46" spans="1:7" x14ac:dyDescent="0.3">
      <c r="A46" t="s">
        <v>49</v>
      </c>
      <c r="B46">
        <v>562</v>
      </c>
      <c r="C46">
        <v>746</v>
      </c>
      <c r="D46">
        <v>124</v>
      </c>
      <c r="E46">
        <v>1978.6099999999997</v>
      </c>
      <c r="F46">
        <v>106</v>
      </c>
      <c r="G46">
        <v>0.2206405693950178</v>
      </c>
    </row>
    <row r="47" spans="1:7" x14ac:dyDescent="0.3">
      <c r="A47" t="s">
        <v>35</v>
      </c>
      <c r="B47">
        <v>949</v>
      </c>
      <c r="C47">
        <v>1139</v>
      </c>
      <c r="D47">
        <v>135</v>
      </c>
      <c r="E47">
        <v>1653.2400000000005</v>
      </c>
      <c r="F47">
        <v>130</v>
      </c>
      <c r="G47">
        <v>0.14225500526870391</v>
      </c>
    </row>
    <row r="48" spans="1:7" x14ac:dyDescent="0.3">
      <c r="A48" t="s">
        <v>42</v>
      </c>
      <c r="B48">
        <v>2191</v>
      </c>
      <c r="C48">
        <v>3014</v>
      </c>
      <c r="D48">
        <v>380</v>
      </c>
      <c r="E48">
        <v>12951.9</v>
      </c>
      <c r="F48">
        <v>277</v>
      </c>
      <c r="G48">
        <v>0.17343678685531722</v>
      </c>
    </row>
    <row r="49" spans="1:7" x14ac:dyDescent="0.3">
      <c r="A49" t="s">
        <v>29</v>
      </c>
      <c r="B49">
        <v>593</v>
      </c>
      <c r="C49">
        <v>736</v>
      </c>
      <c r="D49">
        <v>173</v>
      </c>
      <c r="E49">
        <v>4848.5699999999988</v>
      </c>
      <c r="F49">
        <v>104</v>
      </c>
      <c r="G49">
        <v>0.29173693086003372</v>
      </c>
    </row>
    <row r="50" spans="1:7" x14ac:dyDescent="0.3">
      <c r="A50" t="s">
        <v>50</v>
      </c>
      <c r="B50">
        <v>1917</v>
      </c>
      <c r="C50">
        <v>3011</v>
      </c>
      <c r="D50">
        <v>341</v>
      </c>
      <c r="E50">
        <v>8040.1799999999976</v>
      </c>
      <c r="F50">
        <v>302</v>
      </c>
      <c r="G50">
        <v>0.17788210745957225</v>
      </c>
    </row>
    <row r="51" spans="1:7" x14ac:dyDescent="0.3">
      <c r="A51" t="s">
        <v>44</v>
      </c>
      <c r="B51">
        <v>168</v>
      </c>
      <c r="C51">
        <v>241</v>
      </c>
      <c r="D51">
        <v>43</v>
      </c>
      <c r="E51">
        <v>1300.9899999999998</v>
      </c>
      <c r="F51">
        <v>35</v>
      </c>
      <c r="G51">
        <v>0.25595238095238093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4C0A-269D-4FBB-8CED-D80C9C0FD48A}">
  <dimension ref="A1:Y51"/>
  <sheetViews>
    <sheetView workbookViewId="0">
      <selection sqref="A1:AB51"/>
    </sheetView>
  </sheetViews>
  <sheetFormatPr defaultRowHeight="14.4" x14ac:dyDescent="0.3"/>
  <cols>
    <col min="1" max="1" width="6.6640625" bestFit="1" customWidth="1"/>
    <col min="2" max="2" width="11.21875" bestFit="1" customWidth="1"/>
    <col min="3" max="3" width="16" bestFit="1" customWidth="1"/>
    <col min="4" max="4" width="10.6640625" bestFit="1" customWidth="1"/>
    <col min="5" max="5" width="21" bestFit="1" customWidth="1"/>
    <col min="6" max="7" width="22" bestFit="1" customWidth="1"/>
    <col min="8" max="9" width="24.109375" bestFit="1" customWidth="1"/>
    <col min="10" max="10" width="22" bestFit="1" customWidth="1"/>
    <col min="11" max="11" width="10.5546875" bestFit="1" customWidth="1"/>
    <col min="12" max="12" width="17.109375" bestFit="1" customWidth="1"/>
    <col min="13" max="15" width="18.109375" bestFit="1" customWidth="1"/>
    <col min="16" max="16" width="13.33203125" bestFit="1" customWidth="1"/>
    <col min="17" max="17" width="14" bestFit="1" customWidth="1"/>
    <col min="18" max="18" width="26.21875" bestFit="1" customWidth="1"/>
    <col min="19" max="19" width="13.88671875" bestFit="1" customWidth="1"/>
    <col min="20" max="20" width="16.5546875" bestFit="1" customWidth="1"/>
    <col min="21" max="21" width="13.6640625" bestFit="1" customWidth="1"/>
    <col min="22" max="22" width="15.88671875" bestFit="1" customWidth="1"/>
    <col min="23" max="24" width="19.77734375" bestFit="1" customWidth="1"/>
    <col min="25" max="25" width="17.77734375" bestFit="1" customWidth="1"/>
    <col min="26" max="26" width="13.6640625" bestFit="1" customWidth="1"/>
    <col min="27" max="27" width="15.88671875" bestFit="1" customWidth="1"/>
    <col min="28" max="29" width="19.77734375" bestFit="1" customWidth="1"/>
  </cols>
  <sheetData>
    <row r="1" spans="1:25" x14ac:dyDescent="0.3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188</v>
      </c>
    </row>
    <row r="2" spans="1:25" x14ac:dyDescent="0.3">
      <c r="A2" t="s">
        <v>23</v>
      </c>
      <c r="B2" t="s">
        <v>96</v>
      </c>
      <c r="C2">
        <v>382</v>
      </c>
      <c r="D2">
        <v>264</v>
      </c>
      <c r="E2">
        <v>12</v>
      </c>
      <c r="F2">
        <v>261</v>
      </c>
      <c r="G2">
        <v>56</v>
      </c>
      <c r="H2">
        <v>0</v>
      </c>
      <c r="I2">
        <v>0</v>
      </c>
      <c r="J2">
        <v>0</v>
      </c>
      <c r="K2" t="s">
        <v>2</v>
      </c>
      <c r="L2">
        <v>59</v>
      </c>
      <c r="M2">
        <v>203</v>
      </c>
      <c r="N2">
        <v>386</v>
      </c>
      <c r="O2">
        <v>574</v>
      </c>
      <c r="P2">
        <v>1.33</v>
      </c>
      <c r="Q2">
        <v>0.54678099999999996</v>
      </c>
      <c r="R2" t="s">
        <v>97</v>
      </c>
      <c r="S2" t="s">
        <v>98</v>
      </c>
      <c r="T2">
        <v>144.35018400000001</v>
      </c>
      <c r="U2" t="s">
        <v>99</v>
      </c>
      <c r="V2">
        <v>47</v>
      </c>
      <c r="W2">
        <v>6</v>
      </c>
      <c r="X2">
        <v>7</v>
      </c>
      <c r="Y2" t="s">
        <v>189</v>
      </c>
    </row>
    <row r="3" spans="1:25" x14ac:dyDescent="0.3">
      <c r="A3" t="s">
        <v>34</v>
      </c>
      <c r="B3" t="s">
        <v>96</v>
      </c>
      <c r="C3">
        <v>306</v>
      </c>
      <c r="D3">
        <v>206</v>
      </c>
      <c r="E3">
        <v>127</v>
      </c>
      <c r="F3">
        <v>91</v>
      </c>
      <c r="G3">
        <v>17</v>
      </c>
      <c r="H3">
        <v>0</v>
      </c>
      <c r="I3">
        <v>0</v>
      </c>
      <c r="J3">
        <v>0</v>
      </c>
      <c r="K3" t="s">
        <v>2</v>
      </c>
      <c r="L3">
        <v>29</v>
      </c>
      <c r="M3">
        <v>155</v>
      </c>
      <c r="N3">
        <v>261</v>
      </c>
      <c r="O3">
        <v>417</v>
      </c>
      <c r="P3">
        <v>1.56</v>
      </c>
      <c r="Q3">
        <v>0.373971</v>
      </c>
      <c r="R3" t="s">
        <v>97</v>
      </c>
      <c r="S3" t="s">
        <v>98</v>
      </c>
      <c r="T3">
        <v>77.038026000000002</v>
      </c>
      <c r="U3" t="s">
        <v>99</v>
      </c>
      <c r="V3">
        <v>85</v>
      </c>
      <c r="W3">
        <v>7</v>
      </c>
      <c r="X3">
        <v>8</v>
      </c>
      <c r="Y3" t="s">
        <v>189</v>
      </c>
    </row>
    <row r="4" spans="1:25" x14ac:dyDescent="0.3">
      <c r="A4" t="s">
        <v>31</v>
      </c>
      <c r="B4" t="s">
        <v>96</v>
      </c>
      <c r="C4">
        <v>139</v>
      </c>
      <c r="D4">
        <v>95</v>
      </c>
      <c r="E4">
        <v>42</v>
      </c>
      <c r="F4">
        <v>8</v>
      </c>
      <c r="G4">
        <v>62</v>
      </c>
      <c r="H4">
        <v>0</v>
      </c>
      <c r="I4">
        <v>0</v>
      </c>
      <c r="J4">
        <v>0</v>
      </c>
      <c r="K4" t="s">
        <v>2</v>
      </c>
      <c r="L4">
        <v>13</v>
      </c>
      <c r="M4">
        <v>67</v>
      </c>
      <c r="N4">
        <v>116</v>
      </c>
      <c r="O4">
        <v>179</v>
      </c>
      <c r="P4">
        <v>1.1599999999999999</v>
      </c>
      <c r="Q4">
        <v>0.425846</v>
      </c>
      <c r="R4" t="s">
        <v>97</v>
      </c>
      <c r="S4" t="s">
        <v>98</v>
      </c>
      <c r="T4">
        <v>40.455370000000002</v>
      </c>
      <c r="U4" t="s">
        <v>99</v>
      </c>
      <c r="V4">
        <v>83</v>
      </c>
      <c r="W4">
        <v>8</v>
      </c>
      <c r="X4">
        <v>9</v>
      </c>
      <c r="Y4" t="s">
        <v>189</v>
      </c>
    </row>
    <row r="5" spans="1:25" x14ac:dyDescent="0.3">
      <c r="A5" t="s">
        <v>39</v>
      </c>
      <c r="B5" t="s">
        <v>96</v>
      </c>
      <c r="C5">
        <v>171</v>
      </c>
      <c r="D5">
        <v>70</v>
      </c>
      <c r="E5">
        <v>3</v>
      </c>
      <c r="F5">
        <v>84</v>
      </c>
      <c r="G5">
        <v>0</v>
      </c>
      <c r="H5">
        <v>0</v>
      </c>
      <c r="I5">
        <v>0</v>
      </c>
      <c r="J5">
        <v>0</v>
      </c>
      <c r="K5" t="s">
        <v>2</v>
      </c>
      <c r="L5">
        <v>18</v>
      </c>
      <c r="M5">
        <v>71</v>
      </c>
      <c r="N5">
        <v>128</v>
      </c>
      <c r="O5">
        <v>187</v>
      </c>
      <c r="P5">
        <v>1.65</v>
      </c>
      <c r="Q5">
        <v>0.37557499999999999</v>
      </c>
      <c r="R5" t="s">
        <v>97</v>
      </c>
      <c r="S5" t="s">
        <v>98</v>
      </c>
      <c r="T5">
        <v>26.29025</v>
      </c>
      <c r="U5" t="s">
        <v>99</v>
      </c>
      <c r="V5">
        <v>99</v>
      </c>
      <c r="W5">
        <v>8</v>
      </c>
      <c r="X5">
        <v>10</v>
      </c>
      <c r="Y5" t="s">
        <v>189</v>
      </c>
    </row>
    <row r="6" spans="1:25" x14ac:dyDescent="0.3">
      <c r="A6" t="s">
        <v>50</v>
      </c>
      <c r="B6" t="s">
        <v>96</v>
      </c>
      <c r="C6">
        <v>283</v>
      </c>
      <c r="D6">
        <v>0</v>
      </c>
      <c r="E6">
        <v>53</v>
      </c>
      <c r="F6">
        <v>141</v>
      </c>
      <c r="G6">
        <v>0</v>
      </c>
      <c r="H6">
        <v>0</v>
      </c>
      <c r="I6">
        <v>0</v>
      </c>
      <c r="J6">
        <v>0</v>
      </c>
      <c r="K6" t="s">
        <v>2</v>
      </c>
      <c r="L6">
        <v>249</v>
      </c>
      <c r="M6">
        <v>491</v>
      </c>
      <c r="N6">
        <v>543</v>
      </c>
      <c r="O6">
        <v>557</v>
      </c>
      <c r="P6">
        <v>1.47</v>
      </c>
      <c r="Q6">
        <v>0.27041700000000002</v>
      </c>
      <c r="R6" t="s">
        <v>97</v>
      </c>
      <c r="S6" t="s">
        <v>98</v>
      </c>
      <c r="T6">
        <v>0</v>
      </c>
      <c r="U6" t="s">
        <v>99</v>
      </c>
      <c r="V6">
        <v>145</v>
      </c>
      <c r="W6">
        <v>0</v>
      </c>
      <c r="X6">
        <v>1</v>
      </c>
      <c r="Y6" t="s">
        <v>189</v>
      </c>
    </row>
    <row r="7" spans="1:25" x14ac:dyDescent="0.3">
      <c r="A7" t="s">
        <v>49</v>
      </c>
      <c r="B7" t="s">
        <v>96</v>
      </c>
      <c r="C7">
        <v>21</v>
      </c>
      <c r="D7">
        <v>1</v>
      </c>
      <c r="E7">
        <v>8</v>
      </c>
      <c r="F7">
        <v>40</v>
      </c>
      <c r="G7">
        <v>0</v>
      </c>
      <c r="H7">
        <v>0</v>
      </c>
      <c r="I7">
        <v>0</v>
      </c>
      <c r="J7">
        <v>0</v>
      </c>
      <c r="K7" t="s">
        <v>2</v>
      </c>
      <c r="L7">
        <v>61</v>
      </c>
      <c r="M7">
        <v>131</v>
      </c>
      <c r="N7">
        <v>150</v>
      </c>
      <c r="O7">
        <v>173</v>
      </c>
      <c r="P7">
        <v>1.23</v>
      </c>
      <c r="Q7">
        <v>0.15523400000000001</v>
      </c>
      <c r="R7" t="s">
        <v>97</v>
      </c>
      <c r="S7" t="s">
        <v>98</v>
      </c>
      <c r="T7">
        <v>0.15523400000000001</v>
      </c>
      <c r="U7" t="s">
        <v>99</v>
      </c>
      <c r="V7">
        <v>0</v>
      </c>
      <c r="W7">
        <v>0</v>
      </c>
      <c r="X7">
        <v>0</v>
      </c>
      <c r="Y7" t="s">
        <v>190</v>
      </c>
    </row>
    <row r="8" spans="1:25" x14ac:dyDescent="0.3">
      <c r="A8" t="s">
        <v>30</v>
      </c>
      <c r="B8" t="s">
        <v>96</v>
      </c>
      <c r="C8">
        <v>144</v>
      </c>
      <c r="D8">
        <v>134</v>
      </c>
      <c r="E8">
        <v>51</v>
      </c>
      <c r="F8">
        <v>45</v>
      </c>
      <c r="G8">
        <v>55</v>
      </c>
      <c r="H8">
        <v>0</v>
      </c>
      <c r="I8">
        <v>0</v>
      </c>
      <c r="J8">
        <v>0</v>
      </c>
      <c r="K8" t="s">
        <v>2</v>
      </c>
      <c r="L8">
        <v>15</v>
      </c>
      <c r="M8">
        <v>95</v>
      </c>
      <c r="N8">
        <v>150</v>
      </c>
      <c r="O8">
        <v>220</v>
      </c>
      <c r="P8">
        <v>1.25</v>
      </c>
      <c r="Q8">
        <v>0.336372</v>
      </c>
      <c r="R8" t="s">
        <v>97</v>
      </c>
      <c r="S8" t="s">
        <v>100</v>
      </c>
      <c r="T8">
        <v>45.073847999999998</v>
      </c>
      <c r="U8" t="s">
        <v>99</v>
      </c>
      <c r="V8">
        <v>59</v>
      </c>
      <c r="W8">
        <v>5</v>
      </c>
      <c r="X8">
        <v>7</v>
      </c>
      <c r="Y8" t="s">
        <v>189</v>
      </c>
    </row>
    <row r="9" spans="1:25" x14ac:dyDescent="0.3">
      <c r="A9" t="s">
        <v>44</v>
      </c>
      <c r="B9" t="s">
        <v>96</v>
      </c>
      <c r="C9">
        <v>255</v>
      </c>
      <c r="D9">
        <v>95</v>
      </c>
      <c r="E9">
        <v>4</v>
      </c>
      <c r="F9">
        <v>42</v>
      </c>
      <c r="G9">
        <v>41</v>
      </c>
      <c r="H9">
        <v>17</v>
      </c>
      <c r="I9">
        <v>0</v>
      </c>
      <c r="J9">
        <v>0</v>
      </c>
      <c r="K9" t="s">
        <v>2</v>
      </c>
      <c r="L9">
        <v>2</v>
      </c>
      <c r="M9">
        <v>10</v>
      </c>
      <c r="N9">
        <v>18</v>
      </c>
      <c r="O9">
        <v>36</v>
      </c>
      <c r="P9">
        <v>0.37</v>
      </c>
      <c r="Q9">
        <v>0.31595699999999999</v>
      </c>
      <c r="R9" t="s">
        <v>97</v>
      </c>
      <c r="S9" t="s">
        <v>98</v>
      </c>
      <c r="T9">
        <v>30.015915</v>
      </c>
      <c r="U9" t="s">
        <v>99</v>
      </c>
      <c r="V9">
        <v>103</v>
      </c>
      <c r="W9">
        <v>98</v>
      </c>
      <c r="X9">
        <v>89</v>
      </c>
      <c r="Y9" t="s">
        <v>189</v>
      </c>
    </row>
    <row r="10" spans="1:25" x14ac:dyDescent="0.3">
      <c r="A10" t="s">
        <v>45</v>
      </c>
      <c r="B10" t="s">
        <v>96</v>
      </c>
      <c r="C10">
        <v>211</v>
      </c>
      <c r="D10">
        <v>207</v>
      </c>
      <c r="E10">
        <v>3</v>
      </c>
      <c r="F10">
        <v>1</v>
      </c>
      <c r="G10">
        <v>203</v>
      </c>
      <c r="H10">
        <v>0</v>
      </c>
      <c r="I10">
        <v>0</v>
      </c>
      <c r="J10">
        <v>0</v>
      </c>
      <c r="K10" t="s">
        <v>2</v>
      </c>
      <c r="L10">
        <v>3</v>
      </c>
      <c r="M10">
        <v>19</v>
      </c>
      <c r="N10">
        <v>38</v>
      </c>
      <c r="O10">
        <v>66</v>
      </c>
      <c r="P10">
        <v>0.36</v>
      </c>
      <c r="Q10">
        <v>0.108386</v>
      </c>
      <c r="R10" t="s">
        <v>97</v>
      </c>
      <c r="S10" t="s">
        <v>98</v>
      </c>
      <c r="T10">
        <v>22.435901999999999</v>
      </c>
      <c r="U10" t="s">
        <v>99</v>
      </c>
      <c r="V10">
        <v>57</v>
      </c>
      <c r="W10">
        <v>43</v>
      </c>
      <c r="X10">
        <v>40</v>
      </c>
      <c r="Y10" t="s">
        <v>189</v>
      </c>
    </row>
    <row r="11" spans="1:25" x14ac:dyDescent="0.3">
      <c r="A11" t="s">
        <v>47</v>
      </c>
      <c r="B11" t="s">
        <v>96</v>
      </c>
      <c r="C11">
        <v>363</v>
      </c>
      <c r="D11">
        <v>102</v>
      </c>
      <c r="E11">
        <v>96</v>
      </c>
      <c r="F11">
        <v>10</v>
      </c>
      <c r="G11">
        <v>43</v>
      </c>
      <c r="H11">
        <v>0</v>
      </c>
      <c r="I11">
        <v>0</v>
      </c>
      <c r="J11">
        <v>0</v>
      </c>
      <c r="K11" t="s">
        <v>2</v>
      </c>
      <c r="L11">
        <v>25</v>
      </c>
      <c r="M11">
        <v>122</v>
      </c>
      <c r="N11">
        <v>177</v>
      </c>
      <c r="O11">
        <v>231</v>
      </c>
      <c r="P11">
        <v>1.17</v>
      </c>
      <c r="Q11">
        <v>0.16056500000000001</v>
      </c>
      <c r="R11" t="s">
        <v>97</v>
      </c>
      <c r="S11" t="s">
        <v>98</v>
      </c>
      <c r="T11">
        <v>16.37763</v>
      </c>
      <c r="U11" t="s">
        <v>99</v>
      </c>
      <c r="V11">
        <v>150</v>
      </c>
      <c r="W11">
        <v>10</v>
      </c>
      <c r="X11">
        <v>17</v>
      </c>
      <c r="Y11" t="s">
        <v>189</v>
      </c>
    </row>
    <row r="12" spans="1:25" x14ac:dyDescent="0.3">
      <c r="A12" t="s">
        <v>43</v>
      </c>
      <c r="B12" t="s">
        <v>96</v>
      </c>
      <c r="C12">
        <v>230</v>
      </c>
      <c r="D12">
        <v>124</v>
      </c>
      <c r="E12">
        <v>5</v>
      </c>
      <c r="F12">
        <v>133</v>
      </c>
      <c r="G12">
        <v>0</v>
      </c>
      <c r="H12">
        <v>0</v>
      </c>
      <c r="I12">
        <v>0</v>
      </c>
      <c r="J12">
        <v>0</v>
      </c>
      <c r="K12" t="s">
        <v>2</v>
      </c>
      <c r="L12">
        <v>12</v>
      </c>
      <c r="M12">
        <v>101</v>
      </c>
      <c r="N12">
        <v>141</v>
      </c>
      <c r="O12">
        <v>215</v>
      </c>
      <c r="P12">
        <v>1.43</v>
      </c>
      <c r="Q12">
        <v>0.183563</v>
      </c>
      <c r="R12" t="s">
        <v>97</v>
      </c>
      <c r="S12" t="s">
        <v>98</v>
      </c>
      <c r="T12">
        <v>22.761811999999999</v>
      </c>
      <c r="U12" t="s">
        <v>99</v>
      </c>
      <c r="V12">
        <v>159</v>
      </c>
      <c r="W12">
        <v>8</v>
      </c>
      <c r="X12">
        <v>13</v>
      </c>
      <c r="Y12" t="s">
        <v>189</v>
      </c>
    </row>
    <row r="13" spans="1:25" x14ac:dyDescent="0.3">
      <c r="A13" t="s">
        <v>11</v>
      </c>
      <c r="B13" t="s">
        <v>96</v>
      </c>
      <c r="C13">
        <v>259</v>
      </c>
      <c r="D13">
        <v>87</v>
      </c>
      <c r="E13">
        <v>93</v>
      </c>
      <c r="F13">
        <v>56</v>
      </c>
      <c r="G13">
        <v>0</v>
      </c>
      <c r="H13">
        <v>0</v>
      </c>
      <c r="I13">
        <v>0</v>
      </c>
      <c r="J13">
        <v>0</v>
      </c>
      <c r="K13" t="s">
        <v>2</v>
      </c>
      <c r="L13">
        <v>48</v>
      </c>
      <c r="M13">
        <v>194</v>
      </c>
      <c r="N13">
        <v>291</v>
      </c>
      <c r="O13">
        <v>354</v>
      </c>
      <c r="P13">
        <v>1.69</v>
      </c>
      <c r="Q13">
        <v>0.27939399999999998</v>
      </c>
      <c r="R13" t="s">
        <v>97</v>
      </c>
      <c r="S13" t="s">
        <v>98</v>
      </c>
      <c r="T13">
        <v>24.307278</v>
      </c>
      <c r="U13" t="s">
        <v>99</v>
      </c>
      <c r="V13">
        <v>74</v>
      </c>
      <c r="W13">
        <v>3</v>
      </c>
      <c r="X13">
        <v>6</v>
      </c>
      <c r="Y13" t="s">
        <v>189</v>
      </c>
    </row>
    <row r="14" spans="1:25" x14ac:dyDescent="0.3">
      <c r="A14" t="s">
        <v>7</v>
      </c>
      <c r="B14" t="s">
        <v>96</v>
      </c>
      <c r="C14">
        <v>452</v>
      </c>
      <c r="D14">
        <v>280</v>
      </c>
      <c r="E14">
        <v>276</v>
      </c>
      <c r="F14">
        <v>99</v>
      </c>
      <c r="G14">
        <v>0</v>
      </c>
      <c r="H14">
        <v>0</v>
      </c>
      <c r="I14">
        <v>0</v>
      </c>
      <c r="J14">
        <v>0</v>
      </c>
      <c r="K14" t="s">
        <v>2</v>
      </c>
      <c r="L14">
        <v>49</v>
      </c>
      <c r="M14">
        <v>242</v>
      </c>
      <c r="N14">
        <v>355</v>
      </c>
      <c r="O14">
        <v>466</v>
      </c>
      <c r="P14">
        <v>1.49</v>
      </c>
      <c r="Q14">
        <v>9.7800999999999999E-2</v>
      </c>
      <c r="R14" t="s">
        <v>97</v>
      </c>
      <c r="S14" t="s">
        <v>100</v>
      </c>
      <c r="T14">
        <v>27.38428</v>
      </c>
      <c r="U14" t="s">
        <v>99</v>
      </c>
      <c r="V14">
        <v>78</v>
      </c>
      <c r="W14">
        <v>6</v>
      </c>
      <c r="X14">
        <v>10</v>
      </c>
      <c r="Y14" t="s">
        <v>189</v>
      </c>
    </row>
    <row r="15" spans="1:25" x14ac:dyDescent="0.3">
      <c r="A15" t="s">
        <v>4</v>
      </c>
      <c r="B15" t="s">
        <v>96</v>
      </c>
      <c r="C15">
        <v>529</v>
      </c>
      <c r="D15">
        <v>471</v>
      </c>
      <c r="E15">
        <v>551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2</v>
      </c>
      <c r="L15">
        <v>86</v>
      </c>
      <c r="M15">
        <v>663</v>
      </c>
      <c r="N15">
        <v>1032</v>
      </c>
      <c r="O15">
        <v>1362</v>
      </c>
      <c r="P15">
        <v>1.93</v>
      </c>
      <c r="Q15">
        <v>0.448577</v>
      </c>
      <c r="R15" t="s">
        <v>97</v>
      </c>
      <c r="S15" t="s">
        <v>98</v>
      </c>
      <c r="T15">
        <v>211.27976699999999</v>
      </c>
      <c r="U15" t="s">
        <v>99</v>
      </c>
      <c r="V15">
        <v>35</v>
      </c>
      <c r="W15">
        <v>2</v>
      </c>
      <c r="X15">
        <v>4</v>
      </c>
      <c r="Y15" t="s">
        <v>191</v>
      </c>
    </row>
    <row r="16" spans="1:25" x14ac:dyDescent="0.3">
      <c r="A16" t="s">
        <v>3</v>
      </c>
      <c r="B16" t="s">
        <v>96</v>
      </c>
      <c r="C16">
        <v>1324</v>
      </c>
      <c r="D16">
        <v>814</v>
      </c>
      <c r="E16">
        <v>764</v>
      </c>
      <c r="F16">
        <v>240</v>
      </c>
      <c r="G16">
        <v>0</v>
      </c>
      <c r="H16">
        <v>0</v>
      </c>
      <c r="I16">
        <v>0</v>
      </c>
      <c r="J16">
        <v>0</v>
      </c>
      <c r="K16" t="s">
        <v>2</v>
      </c>
      <c r="L16">
        <v>216</v>
      </c>
      <c r="M16">
        <v>1008</v>
      </c>
      <c r="N16">
        <v>1688</v>
      </c>
      <c r="O16">
        <v>2328</v>
      </c>
      <c r="P16">
        <v>1.91</v>
      </c>
      <c r="Q16">
        <v>0.25190600000000002</v>
      </c>
      <c r="R16" t="s">
        <v>97</v>
      </c>
      <c r="S16" t="s">
        <v>98</v>
      </c>
      <c r="T16">
        <v>205.05148399999999</v>
      </c>
      <c r="U16" t="s">
        <v>99</v>
      </c>
      <c r="V16">
        <v>64</v>
      </c>
      <c r="W16">
        <v>4</v>
      </c>
      <c r="X16">
        <v>6</v>
      </c>
      <c r="Y16" t="s">
        <v>189</v>
      </c>
    </row>
    <row r="17" spans="1:25" x14ac:dyDescent="0.3">
      <c r="A17" t="s">
        <v>1</v>
      </c>
      <c r="B17" t="s">
        <v>96</v>
      </c>
      <c r="C17">
        <v>387</v>
      </c>
      <c r="D17">
        <v>256</v>
      </c>
      <c r="E17">
        <v>133</v>
      </c>
      <c r="F17">
        <v>113</v>
      </c>
      <c r="G17">
        <v>69</v>
      </c>
      <c r="H17">
        <v>0</v>
      </c>
      <c r="I17">
        <v>0</v>
      </c>
      <c r="J17">
        <v>0</v>
      </c>
      <c r="K17" t="s">
        <v>2</v>
      </c>
      <c r="L17">
        <v>30</v>
      </c>
      <c r="M17">
        <v>176</v>
      </c>
      <c r="N17">
        <v>315</v>
      </c>
      <c r="O17">
        <v>465</v>
      </c>
      <c r="P17">
        <v>1.28</v>
      </c>
      <c r="Q17">
        <v>0.23732500000000001</v>
      </c>
      <c r="R17" t="s">
        <v>97</v>
      </c>
      <c r="S17" t="s">
        <v>98</v>
      </c>
      <c r="T17">
        <v>60.755200000000002</v>
      </c>
      <c r="U17" t="s">
        <v>99</v>
      </c>
      <c r="V17">
        <v>89</v>
      </c>
      <c r="W17">
        <v>8</v>
      </c>
      <c r="X17">
        <v>10</v>
      </c>
      <c r="Y17" t="s">
        <v>189</v>
      </c>
    </row>
    <row r="18" spans="1:25" x14ac:dyDescent="0.3">
      <c r="A18" t="s">
        <v>5</v>
      </c>
      <c r="B18" t="s">
        <v>96</v>
      </c>
      <c r="C18">
        <v>400</v>
      </c>
      <c r="D18">
        <v>256</v>
      </c>
      <c r="E18">
        <v>415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2</v>
      </c>
      <c r="L18">
        <v>96</v>
      </c>
      <c r="M18">
        <v>461</v>
      </c>
      <c r="N18">
        <v>627</v>
      </c>
      <c r="O18">
        <v>794</v>
      </c>
      <c r="P18">
        <v>1.83</v>
      </c>
      <c r="Q18">
        <v>0.42503999999999997</v>
      </c>
      <c r="R18" t="s">
        <v>97</v>
      </c>
      <c r="S18" t="s">
        <v>98</v>
      </c>
      <c r="T18">
        <v>108.81023999999999</v>
      </c>
      <c r="U18" t="s">
        <v>99</v>
      </c>
      <c r="V18">
        <v>57</v>
      </c>
      <c r="W18">
        <v>2</v>
      </c>
      <c r="X18">
        <v>5</v>
      </c>
      <c r="Y18" t="s">
        <v>189</v>
      </c>
    </row>
    <row r="19" spans="1:25" x14ac:dyDescent="0.3">
      <c r="A19" t="s">
        <v>38</v>
      </c>
      <c r="B19" t="s">
        <v>96</v>
      </c>
      <c r="C19">
        <v>458</v>
      </c>
      <c r="D19">
        <v>261</v>
      </c>
      <c r="E19">
        <v>108</v>
      </c>
      <c r="F19">
        <v>225</v>
      </c>
      <c r="G19">
        <v>0</v>
      </c>
      <c r="H19">
        <v>0</v>
      </c>
      <c r="I19">
        <v>0</v>
      </c>
      <c r="J19">
        <v>0</v>
      </c>
      <c r="K19" t="s">
        <v>2</v>
      </c>
      <c r="L19">
        <v>21</v>
      </c>
      <c r="M19">
        <v>273</v>
      </c>
      <c r="N19">
        <v>482</v>
      </c>
      <c r="O19">
        <v>761</v>
      </c>
      <c r="P19">
        <v>1.81</v>
      </c>
      <c r="Q19">
        <v>0.45757599999999998</v>
      </c>
      <c r="R19" t="s">
        <v>97</v>
      </c>
      <c r="S19" t="s">
        <v>98</v>
      </c>
      <c r="T19">
        <v>119.427336</v>
      </c>
      <c r="U19" t="s">
        <v>99</v>
      </c>
      <c r="V19">
        <v>90</v>
      </c>
      <c r="W19">
        <v>6</v>
      </c>
      <c r="X19">
        <v>7</v>
      </c>
      <c r="Y19" t="s">
        <v>189</v>
      </c>
    </row>
    <row r="20" spans="1:25" x14ac:dyDescent="0.3">
      <c r="A20" t="s">
        <v>9</v>
      </c>
      <c r="B20" t="s">
        <v>96</v>
      </c>
      <c r="D20">
        <v>342</v>
      </c>
      <c r="E20">
        <v>70</v>
      </c>
      <c r="F20">
        <v>429</v>
      </c>
      <c r="G20">
        <v>0</v>
      </c>
      <c r="H20">
        <v>0</v>
      </c>
      <c r="I20">
        <v>0</v>
      </c>
      <c r="J20">
        <v>0</v>
      </c>
      <c r="K20" t="s">
        <v>2</v>
      </c>
      <c r="L20">
        <v>122</v>
      </c>
      <c r="M20">
        <v>565</v>
      </c>
      <c r="N20">
        <v>994</v>
      </c>
      <c r="O20">
        <v>1485</v>
      </c>
      <c r="P20">
        <v>1.83</v>
      </c>
      <c r="Q20">
        <v>0.63657399999999997</v>
      </c>
      <c r="R20" t="s">
        <v>97</v>
      </c>
      <c r="S20" t="s">
        <v>100</v>
      </c>
      <c r="T20">
        <v>217.70830799999999</v>
      </c>
      <c r="U20" t="s">
        <v>99</v>
      </c>
      <c r="V20">
        <v>15</v>
      </c>
      <c r="W20">
        <v>2</v>
      </c>
      <c r="X20">
        <v>3</v>
      </c>
      <c r="Y20" t="s">
        <v>190</v>
      </c>
    </row>
    <row r="21" spans="1:25" x14ac:dyDescent="0.3">
      <c r="A21" t="s">
        <v>32</v>
      </c>
      <c r="B21" t="s">
        <v>96</v>
      </c>
      <c r="C21">
        <v>1039</v>
      </c>
      <c r="D21">
        <v>712</v>
      </c>
      <c r="E21">
        <v>159</v>
      </c>
      <c r="F21">
        <v>684</v>
      </c>
      <c r="G21">
        <v>0</v>
      </c>
      <c r="H21">
        <v>0</v>
      </c>
      <c r="I21">
        <v>0</v>
      </c>
      <c r="J21">
        <v>0</v>
      </c>
      <c r="K21" t="s">
        <v>2</v>
      </c>
      <c r="L21">
        <v>124</v>
      </c>
      <c r="M21">
        <v>526</v>
      </c>
      <c r="N21">
        <v>1000</v>
      </c>
      <c r="O21">
        <v>1494</v>
      </c>
      <c r="P21">
        <v>1.1499999999999999</v>
      </c>
      <c r="Q21">
        <v>3.9821000000000002E-2</v>
      </c>
      <c r="R21" t="s">
        <v>97</v>
      </c>
      <c r="S21" t="s">
        <v>98</v>
      </c>
      <c r="T21">
        <v>28.352551999999999</v>
      </c>
      <c r="U21" t="s">
        <v>99</v>
      </c>
      <c r="V21">
        <v>66</v>
      </c>
      <c r="W21">
        <v>7</v>
      </c>
      <c r="X21">
        <v>8</v>
      </c>
      <c r="Y21" t="s">
        <v>189</v>
      </c>
    </row>
    <row r="22" spans="1:25" x14ac:dyDescent="0.3">
      <c r="A22" t="s">
        <v>36</v>
      </c>
      <c r="B22" t="s">
        <v>96</v>
      </c>
      <c r="C22">
        <v>18</v>
      </c>
      <c r="D22">
        <v>2</v>
      </c>
      <c r="E22">
        <v>23</v>
      </c>
      <c r="F22">
        <v>16</v>
      </c>
      <c r="G22">
        <v>0</v>
      </c>
      <c r="H22">
        <v>0</v>
      </c>
      <c r="I22">
        <v>0</v>
      </c>
      <c r="J22">
        <v>0</v>
      </c>
      <c r="K22" t="s">
        <v>2</v>
      </c>
      <c r="L22">
        <v>41</v>
      </c>
      <c r="M22">
        <v>235</v>
      </c>
      <c r="N22">
        <v>432</v>
      </c>
      <c r="O22">
        <v>553</v>
      </c>
      <c r="P22">
        <v>3.18</v>
      </c>
      <c r="Q22">
        <v>0.23484099999999999</v>
      </c>
      <c r="R22" t="s">
        <v>97</v>
      </c>
      <c r="S22" t="s">
        <v>98</v>
      </c>
      <c r="T22">
        <v>0.46968199999999999</v>
      </c>
      <c r="U22" t="s">
        <v>99</v>
      </c>
      <c r="V22">
        <v>0</v>
      </c>
      <c r="W22">
        <v>0</v>
      </c>
      <c r="X22">
        <v>0</v>
      </c>
      <c r="Y22" t="s">
        <v>190</v>
      </c>
    </row>
    <row r="23" spans="1:25" x14ac:dyDescent="0.3">
      <c r="A23" t="s">
        <v>8</v>
      </c>
      <c r="B23" t="s">
        <v>96</v>
      </c>
      <c r="C23">
        <v>395</v>
      </c>
      <c r="D23">
        <v>252</v>
      </c>
      <c r="E23">
        <v>268</v>
      </c>
      <c r="F23">
        <v>63</v>
      </c>
      <c r="G23">
        <v>0</v>
      </c>
      <c r="H23">
        <v>0</v>
      </c>
      <c r="I23">
        <v>0</v>
      </c>
      <c r="J23">
        <v>0</v>
      </c>
      <c r="K23" t="s">
        <v>2</v>
      </c>
      <c r="L23">
        <v>78</v>
      </c>
      <c r="M23">
        <v>355</v>
      </c>
      <c r="N23">
        <v>553</v>
      </c>
      <c r="O23">
        <v>733</v>
      </c>
      <c r="P23">
        <v>1.85</v>
      </c>
      <c r="Q23">
        <v>0.25732300000000002</v>
      </c>
      <c r="R23" t="s">
        <v>97</v>
      </c>
      <c r="S23" t="s">
        <v>98</v>
      </c>
      <c r="T23">
        <v>64.845395999999994</v>
      </c>
      <c r="U23" t="s">
        <v>99</v>
      </c>
      <c r="V23">
        <v>51</v>
      </c>
      <c r="W23">
        <v>4</v>
      </c>
      <c r="X23">
        <v>6</v>
      </c>
      <c r="Y23" t="s">
        <v>189</v>
      </c>
    </row>
    <row r="24" spans="1:25" x14ac:dyDescent="0.3">
      <c r="A24" t="s">
        <v>41</v>
      </c>
      <c r="B24" t="s">
        <v>96</v>
      </c>
      <c r="C24">
        <v>547</v>
      </c>
      <c r="D24">
        <v>285</v>
      </c>
      <c r="E24">
        <v>227</v>
      </c>
      <c r="F24">
        <v>122</v>
      </c>
      <c r="G24">
        <v>0</v>
      </c>
      <c r="H24">
        <v>0</v>
      </c>
      <c r="I24">
        <v>0</v>
      </c>
      <c r="J24">
        <v>0</v>
      </c>
      <c r="K24" t="s">
        <v>2</v>
      </c>
      <c r="L24">
        <v>86</v>
      </c>
      <c r="M24">
        <v>326</v>
      </c>
      <c r="N24">
        <v>496</v>
      </c>
      <c r="O24">
        <v>691</v>
      </c>
      <c r="P24">
        <v>1.64</v>
      </c>
      <c r="Q24">
        <v>1.7403999999999999E-2</v>
      </c>
      <c r="R24" t="s">
        <v>97</v>
      </c>
      <c r="S24" t="s">
        <v>98</v>
      </c>
      <c r="T24">
        <v>4.96014</v>
      </c>
      <c r="U24" t="s">
        <v>99</v>
      </c>
      <c r="V24">
        <v>73</v>
      </c>
      <c r="W24">
        <v>6</v>
      </c>
      <c r="X24">
        <v>9</v>
      </c>
      <c r="Y24" t="s">
        <v>189</v>
      </c>
    </row>
    <row r="25" spans="1:25" x14ac:dyDescent="0.3">
      <c r="A25" t="s">
        <v>37</v>
      </c>
      <c r="B25" t="s">
        <v>96</v>
      </c>
      <c r="C25">
        <v>424</v>
      </c>
      <c r="D25">
        <v>292</v>
      </c>
      <c r="E25">
        <v>210</v>
      </c>
      <c r="F25">
        <v>48</v>
      </c>
      <c r="G25">
        <v>87</v>
      </c>
      <c r="H25">
        <v>0</v>
      </c>
      <c r="I25">
        <v>0</v>
      </c>
      <c r="J25">
        <v>0</v>
      </c>
      <c r="K25" t="s">
        <v>2</v>
      </c>
      <c r="L25">
        <v>43</v>
      </c>
      <c r="M25">
        <v>200</v>
      </c>
      <c r="N25">
        <v>310</v>
      </c>
      <c r="O25">
        <v>468</v>
      </c>
      <c r="P25">
        <v>1.37</v>
      </c>
      <c r="Q25">
        <v>0.18626599999999999</v>
      </c>
      <c r="R25" t="s">
        <v>97</v>
      </c>
      <c r="S25" t="s">
        <v>98</v>
      </c>
      <c r="T25">
        <v>54.389671999999997</v>
      </c>
      <c r="U25" t="s">
        <v>99</v>
      </c>
      <c r="V25">
        <v>106</v>
      </c>
      <c r="W25">
        <v>7</v>
      </c>
      <c r="X25">
        <v>10</v>
      </c>
      <c r="Y25" t="s">
        <v>189</v>
      </c>
    </row>
    <row r="26" spans="1:25" x14ac:dyDescent="0.3">
      <c r="A26" t="s">
        <v>6</v>
      </c>
      <c r="B26" t="s">
        <v>96</v>
      </c>
      <c r="C26">
        <v>1645</v>
      </c>
      <c r="D26">
        <v>341</v>
      </c>
      <c r="E26">
        <v>74</v>
      </c>
      <c r="F26">
        <v>482</v>
      </c>
      <c r="G26">
        <v>0</v>
      </c>
      <c r="H26">
        <v>0</v>
      </c>
      <c r="I26">
        <v>0</v>
      </c>
      <c r="J26">
        <v>0</v>
      </c>
      <c r="K26" t="s">
        <v>2</v>
      </c>
      <c r="L26">
        <v>233</v>
      </c>
      <c r="M26">
        <v>1729</v>
      </c>
      <c r="N26">
        <v>3336</v>
      </c>
      <c r="O26">
        <v>4300</v>
      </c>
      <c r="P26">
        <v>3</v>
      </c>
      <c r="Q26">
        <v>0.51013799999999998</v>
      </c>
      <c r="R26" t="s">
        <v>97</v>
      </c>
      <c r="S26" t="s">
        <v>98</v>
      </c>
      <c r="T26">
        <v>173.95705799999999</v>
      </c>
      <c r="U26" t="s">
        <v>99</v>
      </c>
      <c r="V26">
        <v>41</v>
      </c>
      <c r="W26">
        <v>3</v>
      </c>
      <c r="X26">
        <v>4</v>
      </c>
      <c r="Y26" t="s">
        <v>191</v>
      </c>
    </row>
    <row r="27" spans="1:25" x14ac:dyDescent="0.3">
      <c r="A27" t="s">
        <v>12</v>
      </c>
      <c r="B27" t="s">
        <v>96</v>
      </c>
      <c r="C27">
        <v>1142</v>
      </c>
      <c r="D27">
        <v>1079</v>
      </c>
      <c r="E27">
        <v>456</v>
      </c>
      <c r="F27">
        <v>756</v>
      </c>
      <c r="G27">
        <v>0</v>
      </c>
      <c r="H27">
        <v>0</v>
      </c>
      <c r="I27">
        <v>0</v>
      </c>
      <c r="J27">
        <v>0</v>
      </c>
      <c r="K27" t="s">
        <v>2</v>
      </c>
      <c r="L27">
        <v>132</v>
      </c>
      <c r="M27">
        <v>515</v>
      </c>
      <c r="N27">
        <v>1026</v>
      </c>
      <c r="O27">
        <v>1596</v>
      </c>
      <c r="P27">
        <v>1.64</v>
      </c>
      <c r="Q27">
        <v>0.28512599999999999</v>
      </c>
      <c r="R27" t="s">
        <v>97</v>
      </c>
      <c r="S27" t="s">
        <v>98</v>
      </c>
      <c r="T27">
        <v>307.65095400000001</v>
      </c>
      <c r="U27" t="s">
        <v>99</v>
      </c>
      <c r="V27">
        <v>80</v>
      </c>
      <c r="W27">
        <v>8</v>
      </c>
      <c r="X27">
        <v>8</v>
      </c>
      <c r="Y27" t="s">
        <v>189</v>
      </c>
    </row>
    <row r="28" spans="1:25" x14ac:dyDescent="0.3">
      <c r="A28" t="s">
        <v>13</v>
      </c>
      <c r="B28" t="s">
        <v>96</v>
      </c>
      <c r="C28">
        <v>838</v>
      </c>
      <c r="D28">
        <v>772</v>
      </c>
      <c r="E28">
        <v>696</v>
      </c>
      <c r="F28">
        <v>163</v>
      </c>
      <c r="G28">
        <v>0</v>
      </c>
      <c r="H28">
        <v>0</v>
      </c>
      <c r="I28">
        <v>0</v>
      </c>
      <c r="J28">
        <v>0</v>
      </c>
      <c r="K28" t="s">
        <v>2</v>
      </c>
      <c r="L28">
        <v>129</v>
      </c>
      <c r="M28">
        <v>542</v>
      </c>
      <c r="N28">
        <v>932</v>
      </c>
      <c r="O28">
        <v>1320</v>
      </c>
      <c r="P28">
        <v>1.83</v>
      </c>
      <c r="Q28">
        <v>0.28795900000000002</v>
      </c>
      <c r="R28" t="s">
        <v>97</v>
      </c>
      <c r="S28" t="s">
        <v>98</v>
      </c>
      <c r="T28">
        <v>222.304348</v>
      </c>
      <c r="U28" t="s">
        <v>99</v>
      </c>
      <c r="V28">
        <v>82</v>
      </c>
      <c r="W28">
        <v>5</v>
      </c>
      <c r="X28">
        <v>7</v>
      </c>
      <c r="Y28" t="s">
        <v>189</v>
      </c>
    </row>
    <row r="29" spans="1:25" x14ac:dyDescent="0.3">
      <c r="A29" t="s">
        <v>14</v>
      </c>
      <c r="B29" t="s">
        <v>96</v>
      </c>
      <c r="C29">
        <v>1327</v>
      </c>
      <c r="D29">
        <v>1043</v>
      </c>
      <c r="E29">
        <v>55</v>
      </c>
      <c r="F29">
        <v>1202</v>
      </c>
      <c r="G29">
        <v>0</v>
      </c>
      <c r="H29">
        <v>0</v>
      </c>
      <c r="I29">
        <v>0</v>
      </c>
      <c r="J29">
        <v>0</v>
      </c>
      <c r="K29" t="s">
        <v>2</v>
      </c>
      <c r="L29">
        <v>198</v>
      </c>
      <c r="M29">
        <v>767</v>
      </c>
      <c r="N29">
        <v>1586</v>
      </c>
      <c r="O29">
        <v>2404</v>
      </c>
      <c r="P29">
        <v>1.65</v>
      </c>
      <c r="Q29">
        <v>0.19953799999999999</v>
      </c>
      <c r="R29" t="s">
        <v>97</v>
      </c>
      <c r="S29" t="s">
        <v>98</v>
      </c>
      <c r="T29">
        <v>208.118134</v>
      </c>
      <c r="U29" t="s">
        <v>99</v>
      </c>
      <c r="V29">
        <v>67</v>
      </c>
      <c r="W29">
        <v>6</v>
      </c>
      <c r="X29">
        <v>6</v>
      </c>
      <c r="Y29" t="s">
        <v>189</v>
      </c>
    </row>
    <row r="30" spans="1:25" x14ac:dyDescent="0.3">
      <c r="A30" t="s">
        <v>15</v>
      </c>
      <c r="B30" t="s">
        <v>96</v>
      </c>
      <c r="C30">
        <v>924</v>
      </c>
      <c r="D30">
        <v>815</v>
      </c>
      <c r="E30">
        <v>260</v>
      </c>
      <c r="F30">
        <v>673</v>
      </c>
      <c r="G30">
        <v>0</v>
      </c>
      <c r="H30">
        <v>0</v>
      </c>
      <c r="I30">
        <v>0</v>
      </c>
      <c r="J30">
        <v>0</v>
      </c>
      <c r="K30" t="s">
        <v>2</v>
      </c>
      <c r="L30">
        <v>132</v>
      </c>
      <c r="M30">
        <v>545</v>
      </c>
      <c r="N30">
        <v>988</v>
      </c>
      <c r="O30">
        <v>1451</v>
      </c>
      <c r="P30">
        <v>1.6</v>
      </c>
      <c r="Q30">
        <v>9.0450000000000003E-2</v>
      </c>
      <c r="R30" t="s">
        <v>97</v>
      </c>
      <c r="S30" t="s">
        <v>98</v>
      </c>
      <c r="T30">
        <v>73.716750000000005</v>
      </c>
      <c r="U30" t="s">
        <v>99</v>
      </c>
      <c r="V30">
        <v>77</v>
      </c>
      <c r="W30">
        <v>6</v>
      </c>
      <c r="X30">
        <v>7</v>
      </c>
      <c r="Y30" t="s">
        <v>189</v>
      </c>
    </row>
    <row r="31" spans="1:25" x14ac:dyDescent="0.3">
      <c r="A31" t="s">
        <v>16</v>
      </c>
      <c r="B31" t="s">
        <v>96</v>
      </c>
      <c r="C31">
        <v>404</v>
      </c>
      <c r="D31">
        <v>254</v>
      </c>
      <c r="E31">
        <v>139</v>
      </c>
      <c r="F31">
        <v>104</v>
      </c>
      <c r="G31">
        <v>68</v>
      </c>
      <c r="H31">
        <v>0</v>
      </c>
      <c r="I31">
        <v>0</v>
      </c>
      <c r="J31">
        <v>0</v>
      </c>
      <c r="K31" t="s">
        <v>2</v>
      </c>
      <c r="L31">
        <v>29</v>
      </c>
      <c r="M31">
        <v>245</v>
      </c>
      <c r="N31">
        <v>423</v>
      </c>
      <c r="O31">
        <v>612</v>
      </c>
      <c r="P31">
        <v>1.44</v>
      </c>
      <c r="Q31">
        <v>0.47453699999999999</v>
      </c>
      <c r="R31" t="s">
        <v>97</v>
      </c>
      <c r="S31" t="s">
        <v>100</v>
      </c>
      <c r="T31">
        <v>120.532398</v>
      </c>
      <c r="U31" t="s">
        <v>99</v>
      </c>
      <c r="V31">
        <v>65</v>
      </c>
      <c r="W31">
        <v>5</v>
      </c>
      <c r="X31">
        <v>7</v>
      </c>
      <c r="Y31" t="s">
        <v>189</v>
      </c>
    </row>
    <row r="32" spans="1:25" x14ac:dyDescent="0.3">
      <c r="A32" t="s">
        <v>48</v>
      </c>
      <c r="B32" t="s">
        <v>96</v>
      </c>
      <c r="C32">
        <v>300</v>
      </c>
      <c r="D32">
        <v>199</v>
      </c>
      <c r="E32">
        <v>15</v>
      </c>
      <c r="F32">
        <v>207</v>
      </c>
      <c r="G32">
        <v>0</v>
      </c>
      <c r="H32">
        <v>0</v>
      </c>
      <c r="I32">
        <v>0</v>
      </c>
      <c r="J32">
        <v>0</v>
      </c>
      <c r="K32" t="s">
        <v>2</v>
      </c>
      <c r="L32">
        <v>24</v>
      </c>
      <c r="M32">
        <v>120</v>
      </c>
      <c r="N32">
        <v>211</v>
      </c>
      <c r="O32">
        <v>331</v>
      </c>
      <c r="P32">
        <v>1.61</v>
      </c>
      <c r="Q32">
        <v>0.30494199999999999</v>
      </c>
      <c r="R32" t="s">
        <v>97</v>
      </c>
      <c r="S32" t="s">
        <v>98</v>
      </c>
      <c r="T32">
        <v>60.683458000000002</v>
      </c>
      <c r="U32" t="s">
        <v>99</v>
      </c>
      <c r="V32">
        <v>118</v>
      </c>
      <c r="W32">
        <v>9</v>
      </c>
      <c r="X32">
        <v>11</v>
      </c>
      <c r="Y32" t="s">
        <v>189</v>
      </c>
    </row>
    <row r="33" spans="1:25" x14ac:dyDescent="0.3">
      <c r="A33" t="s">
        <v>17</v>
      </c>
      <c r="B33" t="s">
        <v>96</v>
      </c>
      <c r="C33">
        <v>338</v>
      </c>
      <c r="D33">
        <v>230</v>
      </c>
      <c r="E33">
        <v>71</v>
      </c>
      <c r="F33">
        <v>215</v>
      </c>
      <c r="G33">
        <v>0</v>
      </c>
      <c r="H33">
        <v>0</v>
      </c>
      <c r="I33">
        <v>0</v>
      </c>
      <c r="J33">
        <v>0</v>
      </c>
      <c r="K33" t="s">
        <v>2</v>
      </c>
      <c r="L33">
        <v>47</v>
      </c>
      <c r="M33">
        <v>176</v>
      </c>
      <c r="N33">
        <v>329</v>
      </c>
      <c r="O33">
        <v>505</v>
      </c>
      <c r="P33">
        <v>1.76</v>
      </c>
      <c r="Q33">
        <v>0.25269900000000001</v>
      </c>
      <c r="R33" t="s">
        <v>97</v>
      </c>
      <c r="S33" t="s">
        <v>98</v>
      </c>
      <c r="T33">
        <v>58.12077</v>
      </c>
      <c r="U33" t="s">
        <v>99</v>
      </c>
      <c r="V33">
        <v>88</v>
      </c>
      <c r="W33">
        <v>7</v>
      </c>
      <c r="X33">
        <v>8</v>
      </c>
      <c r="Y33" t="s">
        <v>189</v>
      </c>
    </row>
    <row r="34" spans="1:25" x14ac:dyDescent="0.3">
      <c r="A34" t="s">
        <v>18</v>
      </c>
      <c r="B34" t="s">
        <v>96</v>
      </c>
      <c r="C34">
        <v>326</v>
      </c>
      <c r="D34">
        <v>153</v>
      </c>
      <c r="E34">
        <v>25</v>
      </c>
      <c r="F34">
        <v>166</v>
      </c>
      <c r="G34">
        <v>0</v>
      </c>
      <c r="H34">
        <v>0</v>
      </c>
      <c r="I34">
        <v>0</v>
      </c>
      <c r="J34">
        <v>0</v>
      </c>
      <c r="K34" t="s">
        <v>2</v>
      </c>
      <c r="L34">
        <v>31</v>
      </c>
      <c r="M34">
        <v>177</v>
      </c>
      <c r="N34">
        <v>270</v>
      </c>
      <c r="O34">
        <v>371</v>
      </c>
      <c r="P34">
        <v>1.61</v>
      </c>
      <c r="Q34">
        <v>0.172731</v>
      </c>
      <c r="R34" t="s">
        <v>97</v>
      </c>
      <c r="S34" t="s">
        <v>98</v>
      </c>
      <c r="T34">
        <v>26.427842999999999</v>
      </c>
      <c r="U34" t="s">
        <v>99</v>
      </c>
      <c r="V34">
        <v>95</v>
      </c>
      <c r="W34">
        <v>6</v>
      </c>
      <c r="X34">
        <v>10</v>
      </c>
      <c r="Y34" t="s">
        <v>189</v>
      </c>
    </row>
    <row r="35" spans="1:25" x14ac:dyDescent="0.3">
      <c r="A35" t="s">
        <v>19</v>
      </c>
      <c r="B35" t="s">
        <v>96</v>
      </c>
      <c r="C35">
        <v>753</v>
      </c>
      <c r="D35">
        <v>498</v>
      </c>
      <c r="E35">
        <v>21</v>
      </c>
      <c r="F35">
        <v>610</v>
      </c>
      <c r="G35">
        <v>0</v>
      </c>
      <c r="H35">
        <v>0</v>
      </c>
      <c r="I35">
        <v>0</v>
      </c>
      <c r="J35">
        <v>0</v>
      </c>
      <c r="K35" t="s">
        <v>2</v>
      </c>
      <c r="L35">
        <v>107</v>
      </c>
      <c r="M35">
        <v>255</v>
      </c>
      <c r="N35">
        <v>569</v>
      </c>
      <c r="O35">
        <v>966</v>
      </c>
      <c r="P35">
        <v>1.31</v>
      </c>
      <c r="Q35">
        <v>0.347383</v>
      </c>
      <c r="R35" t="s">
        <v>97</v>
      </c>
      <c r="S35" t="s">
        <v>98</v>
      </c>
      <c r="T35">
        <v>172.996734</v>
      </c>
      <c r="U35" t="s">
        <v>99</v>
      </c>
      <c r="V35">
        <v>88</v>
      </c>
      <c r="W35">
        <v>10</v>
      </c>
      <c r="X35">
        <v>8</v>
      </c>
      <c r="Y35" t="s">
        <v>189</v>
      </c>
    </row>
    <row r="36" spans="1:25" x14ac:dyDescent="0.3">
      <c r="A36" t="s">
        <v>20</v>
      </c>
      <c r="B36" t="s">
        <v>96</v>
      </c>
      <c r="C36">
        <v>267</v>
      </c>
      <c r="D36">
        <v>168</v>
      </c>
      <c r="E36">
        <v>98</v>
      </c>
      <c r="F36">
        <v>130</v>
      </c>
      <c r="G36">
        <v>0</v>
      </c>
      <c r="H36">
        <v>0</v>
      </c>
      <c r="I36">
        <v>0</v>
      </c>
      <c r="J36">
        <v>0</v>
      </c>
      <c r="K36" t="s">
        <v>2</v>
      </c>
      <c r="L36">
        <v>24</v>
      </c>
      <c r="M36">
        <v>151</v>
      </c>
      <c r="N36">
        <v>246</v>
      </c>
      <c r="O36">
        <v>381</v>
      </c>
      <c r="P36">
        <v>1.82</v>
      </c>
      <c r="Q36">
        <v>0.41419</v>
      </c>
      <c r="R36" t="s">
        <v>97</v>
      </c>
      <c r="S36" t="s">
        <v>98</v>
      </c>
      <c r="T36">
        <v>69.583920000000006</v>
      </c>
      <c r="U36" t="s">
        <v>99</v>
      </c>
      <c r="V36">
        <v>82</v>
      </c>
      <c r="W36">
        <v>6</v>
      </c>
      <c r="X36">
        <v>8</v>
      </c>
      <c r="Y36" t="s">
        <v>189</v>
      </c>
    </row>
    <row r="37" spans="1:25" x14ac:dyDescent="0.3">
      <c r="A37" t="s">
        <v>46</v>
      </c>
      <c r="B37" t="s">
        <v>96</v>
      </c>
      <c r="C37">
        <v>1382</v>
      </c>
      <c r="D37">
        <v>784</v>
      </c>
      <c r="E37">
        <v>523</v>
      </c>
      <c r="F37">
        <v>472</v>
      </c>
      <c r="G37">
        <v>0</v>
      </c>
      <c r="H37">
        <v>0</v>
      </c>
      <c r="I37">
        <v>0</v>
      </c>
      <c r="J37">
        <v>0</v>
      </c>
      <c r="K37" t="s">
        <v>2</v>
      </c>
      <c r="L37">
        <v>211</v>
      </c>
      <c r="M37">
        <v>976</v>
      </c>
      <c r="N37">
        <v>1556</v>
      </c>
      <c r="O37">
        <v>2191</v>
      </c>
      <c r="P37">
        <v>1.77</v>
      </c>
      <c r="Q37">
        <v>0.33746799999999999</v>
      </c>
      <c r="R37" t="s">
        <v>97</v>
      </c>
      <c r="S37" t="s">
        <v>98</v>
      </c>
      <c r="T37">
        <v>264.57491199999998</v>
      </c>
      <c r="U37" t="s">
        <v>99</v>
      </c>
      <c r="V37">
        <v>79</v>
      </c>
      <c r="W37">
        <v>5</v>
      </c>
      <c r="X37">
        <v>7</v>
      </c>
      <c r="Y37" t="s">
        <v>189</v>
      </c>
    </row>
    <row r="38" spans="1:25" x14ac:dyDescent="0.3">
      <c r="A38" t="s">
        <v>10</v>
      </c>
      <c r="B38" t="s">
        <v>96</v>
      </c>
      <c r="C38">
        <v>221</v>
      </c>
      <c r="D38">
        <v>123</v>
      </c>
      <c r="E38">
        <v>128</v>
      </c>
      <c r="F38">
        <v>9</v>
      </c>
      <c r="G38">
        <v>47</v>
      </c>
      <c r="H38">
        <v>0</v>
      </c>
      <c r="I38">
        <v>0</v>
      </c>
      <c r="J38">
        <v>0</v>
      </c>
      <c r="K38" t="s">
        <v>2</v>
      </c>
      <c r="L38">
        <v>22</v>
      </c>
      <c r="M38">
        <v>134</v>
      </c>
      <c r="N38">
        <v>192</v>
      </c>
      <c r="O38">
        <v>249</v>
      </c>
      <c r="P38">
        <v>1.25</v>
      </c>
      <c r="Q38">
        <v>0.259106</v>
      </c>
      <c r="R38" t="s">
        <v>97</v>
      </c>
      <c r="S38" t="s">
        <v>98</v>
      </c>
      <c r="T38">
        <v>31.870038000000001</v>
      </c>
      <c r="U38" t="s">
        <v>99</v>
      </c>
      <c r="V38">
        <v>116</v>
      </c>
      <c r="W38">
        <v>4</v>
      </c>
      <c r="X38">
        <v>8</v>
      </c>
      <c r="Y38" t="s">
        <v>189</v>
      </c>
    </row>
    <row r="39" spans="1:25" x14ac:dyDescent="0.3">
      <c r="A39" t="s">
        <v>51</v>
      </c>
      <c r="B39" t="s">
        <v>96</v>
      </c>
      <c r="C39">
        <v>991</v>
      </c>
      <c r="D39">
        <v>861</v>
      </c>
      <c r="E39">
        <v>587</v>
      </c>
      <c r="F39">
        <v>373</v>
      </c>
      <c r="G39">
        <v>0</v>
      </c>
      <c r="H39">
        <v>0</v>
      </c>
      <c r="I39">
        <v>0</v>
      </c>
      <c r="J39">
        <v>0</v>
      </c>
      <c r="K39" t="s">
        <v>2</v>
      </c>
      <c r="L39">
        <v>114</v>
      </c>
      <c r="M39">
        <v>429</v>
      </c>
      <c r="N39">
        <v>954</v>
      </c>
      <c r="O39">
        <v>1509</v>
      </c>
      <c r="P39">
        <v>1.8</v>
      </c>
      <c r="Q39">
        <v>0.162883</v>
      </c>
      <c r="R39" t="s">
        <v>97</v>
      </c>
      <c r="S39" t="s">
        <v>98</v>
      </c>
      <c r="T39">
        <v>140.24226300000001</v>
      </c>
      <c r="U39" t="s">
        <v>99</v>
      </c>
      <c r="V39">
        <v>76</v>
      </c>
      <c r="W39">
        <v>8</v>
      </c>
      <c r="X39">
        <v>8</v>
      </c>
      <c r="Y39" t="s">
        <v>189</v>
      </c>
    </row>
    <row r="40" spans="1:25" x14ac:dyDescent="0.3">
      <c r="A40" t="s">
        <v>40</v>
      </c>
      <c r="B40" t="s">
        <v>96</v>
      </c>
      <c r="D40">
        <v>22</v>
      </c>
      <c r="E40">
        <v>52</v>
      </c>
      <c r="F40">
        <v>2</v>
      </c>
      <c r="G40">
        <v>23</v>
      </c>
      <c r="H40">
        <v>0</v>
      </c>
      <c r="I40">
        <v>0</v>
      </c>
      <c r="J40">
        <v>0</v>
      </c>
      <c r="K40" t="s">
        <v>2</v>
      </c>
      <c r="L40">
        <v>52</v>
      </c>
      <c r="M40">
        <v>157</v>
      </c>
      <c r="N40">
        <v>218</v>
      </c>
      <c r="O40">
        <v>288</v>
      </c>
      <c r="P40">
        <v>1.56</v>
      </c>
      <c r="Q40">
        <v>8.9032E-2</v>
      </c>
      <c r="R40" t="s">
        <v>97</v>
      </c>
      <c r="S40" t="s">
        <v>98</v>
      </c>
      <c r="T40">
        <v>1.958704</v>
      </c>
      <c r="U40" t="s">
        <v>99</v>
      </c>
      <c r="V40">
        <v>95</v>
      </c>
      <c r="W40">
        <v>6</v>
      </c>
      <c r="X40">
        <v>10</v>
      </c>
      <c r="Y40" t="s">
        <v>189</v>
      </c>
    </row>
    <row r="41" spans="1:25" x14ac:dyDescent="0.3">
      <c r="A41" t="s">
        <v>24</v>
      </c>
      <c r="B41" t="s">
        <v>96</v>
      </c>
      <c r="C41">
        <v>655</v>
      </c>
      <c r="D41">
        <v>407</v>
      </c>
      <c r="E41">
        <v>356</v>
      </c>
      <c r="F41">
        <v>155</v>
      </c>
      <c r="G41">
        <v>0</v>
      </c>
      <c r="H41">
        <v>0</v>
      </c>
      <c r="I41">
        <v>0</v>
      </c>
      <c r="J41">
        <v>0</v>
      </c>
      <c r="K41" t="s">
        <v>2</v>
      </c>
      <c r="L41">
        <v>85</v>
      </c>
      <c r="M41">
        <v>337</v>
      </c>
      <c r="N41">
        <v>613</v>
      </c>
      <c r="O41">
        <v>893</v>
      </c>
      <c r="P41">
        <v>1.74</v>
      </c>
      <c r="Q41">
        <v>0.13223399999999999</v>
      </c>
      <c r="R41" t="s">
        <v>97</v>
      </c>
      <c r="S41" t="s">
        <v>98</v>
      </c>
      <c r="T41">
        <v>53.819237999999999</v>
      </c>
      <c r="U41" t="s">
        <v>99</v>
      </c>
      <c r="V41">
        <v>84</v>
      </c>
      <c r="W41">
        <v>6</v>
      </c>
      <c r="X41">
        <v>8</v>
      </c>
      <c r="Y41" t="s">
        <v>189</v>
      </c>
    </row>
    <row r="42" spans="1:25" x14ac:dyDescent="0.3">
      <c r="A42" t="s">
        <v>21</v>
      </c>
      <c r="B42" t="s">
        <v>96</v>
      </c>
      <c r="C42">
        <v>935</v>
      </c>
      <c r="D42">
        <v>694</v>
      </c>
      <c r="E42">
        <v>22</v>
      </c>
      <c r="F42">
        <v>831</v>
      </c>
      <c r="G42">
        <v>0</v>
      </c>
      <c r="H42">
        <v>0</v>
      </c>
      <c r="I42">
        <v>0</v>
      </c>
      <c r="J42">
        <v>0</v>
      </c>
      <c r="K42" t="s">
        <v>2</v>
      </c>
      <c r="L42">
        <v>142</v>
      </c>
      <c r="M42">
        <v>535</v>
      </c>
      <c r="N42">
        <v>953</v>
      </c>
      <c r="O42">
        <v>1443</v>
      </c>
      <c r="P42">
        <v>1.52</v>
      </c>
      <c r="Q42">
        <v>0.64398599999999995</v>
      </c>
      <c r="R42" t="s">
        <v>97</v>
      </c>
      <c r="S42" t="s">
        <v>98</v>
      </c>
      <c r="T42">
        <v>446.92628400000001</v>
      </c>
      <c r="U42" t="s">
        <v>99</v>
      </c>
      <c r="V42">
        <v>75</v>
      </c>
      <c r="W42">
        <v>6</v>
      </c>
      <c r="X42">
        <v>7</v>
      </c>
      <c r="Y42" t="s">
        <v>189</v>
      </c>
    </row>
    <row r="43" spans="1:25" x14ac:dyDescent="0.3">
      <c r="A43" t="s">
        <v>22</v>
      </c>
      <c r="B43" t="s">
        <v>96</v>
      </c>
      <c r="C43">
        <v>752</v>
      </c>
      <c r="D43">
        <v>673</v>
      </c>
      <c r="E43">
        <v>328</v>
      </c>
      <c r="F43">
        <v>206</v>
      </c>
      <c r="G43">
        <v>258</v>
      </c>
      <c r="H43">
        <v>0</v>
      </c>
      <c r="I43">
        <v>0</v>
      </c>
      <c r="J43">
        <v>0</v>
      </c>
      <c r="K43" t="s">
        <v>2</v>
      </c>
      <c r="L43">
        <v>83</v>
      </c>
      <c r="M43">
        <v>252</v>
      </c>
      <c r="N43">
        <v>709</v>
      </c>
      <c r="O43">
        <v>1224</v>
      </c>
      <c r="P43">
        <v>1.42</v>
      </c>
      <c r="Q43">
        <v>0.372838</v>
      </c>
      <c r="R43" t="s">
        <v>97</v>
      </c>
      <c r="S43" t="s">
        <v>98</v>
      </c>
      <c r="T43">
        <v>250.919974</v>
      </c>
      <c r="U43" t="s">
        <v>99</v>
      </c>
      <c r="V43">
        <v>86</v>
      </c>
      <c r="W43">
        <v>10</v>
      </c>
      <c r="X43">
        <v>7</v>
      </c>
      <c r="Y43" t="s">
        <v>189</v>
      </c>
    </row>
    <row r="44" spans="1:25" x14ac:dyDescent="0.3">
      <c r="A44" t="s">
        <v>28</v>
      </c>
      <c r="B44" t="s">
        <v>96</v>
      </c>
      <c r="C44">
        <v>166</v>
      </c>
      <c r="D44">
        <v>123</v>
      </c>
      <c r="E44">
        <v>110</v>
      </c>
      <c r="F44">
        <v>12</v>
      </c>
      <c r="G44">
        <v>51</v>
      </c>
      <c r="H44">
        <v>0</v>
      </c>
      <c r="I44">
        <v>0</v>
      </c>
      <c r="J44">
        <v>0</v>
      </c>
      <c r="K44" t="s">
        <v>2</v>
      </c>
      <c r="L44">
        <v>25</v>
      </c>
      <c r="M44">
        <v>100</v>
      </c>
      <c r="N44">
        <v>162</v>
      </c>
      <c r="O44">
        <v>217</v>
      </c>
      <c r="P44">
        <v>1.24</v>
      </c>
      <c r="Q44">
        <v>3.5586E-2</v>
      </c>
      <c r="R44" t="s">
        <v>97</v>
      </c>
      <c r="S44" t="s">
        <v>98</v>
      </c>
      <c r="T44">
        <v>4.377078</v>
      </c>
      <c r="U44" t="s">
        <v>99</v>
      </c>
      <c r="V44">
        <v>74</v>
      </c>
      <c r="W44">
        <v>4</v>
      </c>
      <c r="X44">
        <v>7</v>
      </c>
      <c r="Y44" t="s">
        <v>189</v>
      </c>
    </row>
    <row r="45" spans="1:25" x14ac:dyDescent="0.3">
      <c r="A45" t="s">
        <v>35</v>
      </c>
      <c r="B45" t="s">
        <v>96</v>
      </c>
      <c r="C45">
        <v>130</v>
      </c>
      <c r="D45">
        <v>96</v>
      </c>
      <c r="E45">
        <v>69</v>
      </c>
      <c r="F45">
        <v>54</v>
      </c>
      <c r="G45">
        <v>0</v>
      </c>
      <c r="H45">
        <v>0</v>
      </c>
      <c r="I45">
        <v>0</v>
      </c>
      <c r="J45">
        <v>0</v>
      </c>
      <c r="K45" t="s">
        <v>2</v>
      </c>
      <c r="L45">
        <v>14</v>
      </c>
      <c r="M45">
        <v>57</v>
      </c>
      <c r="N45">
        <v>96</v>
      </c>
      <c r="O45">
        <v>133</v>
      </c>
      <c r="P45">
        <v>0.85</v>
      </c>
      <c r="Q45">
        <v>3.4594E-2</v>
      </c>
      <c r="R45" t="s">
        <v>97</v>
      </c>
      <c r="S45" t="s">
        <v>98</v>
      </c>
      <c r="T45">
        <v>3.321024</v>
      </c>
      <c r="U45" t="s">
        <v>99</v>
      </c>
      <c r="V45">
        <v>99</v>
      </c>
      <c r="W45">
        <v>7</v>
      </c>
      <c r="X45">
        <v>11</v>
      </c>
      <c r="Y45" t="s">
        <v>189</v>
      </c>
    </row>
    <row r="46" spans="1:25" x14ac:dyDescent="0.3">
      <c r="A46" t="s">
        <v>27</v>
      </c>
      <c r="B46" t="s">
        <v>96</v>
      </c>
      <c r="C46">
        <v>159</v>
      </c>
      <c r="D46">
        <v>82</v>
      </c>
      <c r="E46">
        <v>51</v>
      </c>
      <c r="F46">
        <v>55</v>
      </c>
      <c r="G46">
        <v>0</v>
      </c>
      <c r="H46">
        <v>0</v>
      </c>
      <c r="I46">
        <v>0</v>
      </c>
      <c r="J46">
        <v>0</v>
      </c>
      <c r="K46" t="s">
        <v>2</v>
      </c>
      <c r="L46">
        <v>20</v>
      </c>
      <c r="M46">
        <v>71</v>
      </c>
      <c r="N46">
        <v>204</v>
      </c>
      <c r="O46">
        <v>328</v>
      </c>
      <c r="P46">
        <v>2.02</v>
      </c>
      <c r="Q46">
        <v>0.103417</v>
      </c>
      <c r="R46" t="s">
        <v>97</v>
      </c>
      <c r="S46" t="s">
        <v>98</v>
      </c>
      <c r="T46">
        <v>8.4801939999999991</v>
      </c>
      <c r="U46" t="s">
        <v>99</v>
      </c>
      <c r="V46">
        <v>63</v>
      </c>
      <c r="W46">
        <v>8</v>
      </c>
      <c r="X46">
        <v>5</v>
      </c>
      <c r="Y46" t="s">
        <v>189</v>
      </c>
    </row>
    <row r="47" spans="1:25" x14ac:dyDescent="0.3">
      <c r="A47" t="s">
        <v>29</v>
      </c>
      <c r="B47" t="s">
        <v>96</v>
      </c>
      <c r="C47">
        <v>177</v>
      </c>
      <c r="D47">
        <v>109</v>
      </c>
      <c r="E47">
        <v>77</v>
      </c>
      <c r="F47">
        <v>52</v>
      </c>
      <c r="G47">
        <v>0</v>
      </c>
      <c r="H47">
        <v>0</v>
      </c>
      <c r="I47">
        <v>0</v>
      </c>
      <c r="J47">
        <v>0</v>
      </c>
      <c r="K47" t="s">
        <v>2</v>
      </c>
      <c r="L47">
        <v>19</v>
      </c>
      <c r="M47">
        <v>78</v>
      </c>
      <c r="N47">
        <v>117</v>
      </c>
      <c r="O47">
        <v>173</v>
      </c>
      <c r="P47">
        <v>1.4</v>
      </c>
      <c r="Q47">
        <v>8.2991999999999996E-2</v>
      </c>
      <c r="R47" t="s">
        <v>97</v>
      </c>
      <c r="S47" t="s">
        <v>98</v>
      </c>
      <c r="T47">
        <v>9.0461279999999995</v>
      </c>
      <c r="U47" t="s">
        <v>99</v>
      </c>
      <c r="V47">
        <v>103</v>
      </c>
      <c r="W47">
        <v>8</v>
      </c>
      <c r="X47">
        <v>12</v>
      </c>
      <c r="Y47" t="s">
        <v>189</v>
      </c>
    </row>
    <row r="48" spans="1:25" x14ac:dyDescent="0.3">
      <c r="A48" t="s">
        <v>25</v>
      </c>
      <c r="B48" t="s">
        <v>96</v>
      </c>
      <c r="C48">
        <v>256</v>
      </c>
      <c r="D48">
        <v>241</v>
      </c>
      <c r="E48">
        <v>11</v>
      </c>
      <c r="F48">
        <v>82</v>
      </c>
      <c r="G48">
        <v>169</v>
      </c>
      <c r="H48">
        <v>0</v>
      </c>
      <c r="I48">
        <v>0</v>
      </c>
      <c r="J48">
        <v>0</v>
      </c>
      <c r="K48" t="s">
        <v>2</v>
      </c>
      <c r="L48">
        <v>12</v>
      </c>
      <c r="M48">
        <v>54</v>
      </c>
      <c r="N48">
        <v>158</v>
      </c>
      <c r="O48">
        <v>271</v>
      </c>
      <c r="P48">
        <v>0.96</v>
      </c>
      <c r="Q48">
        <v>0.47459699999999999</v>
      </c>
      <c r="R48" t="s">
        <v>97</v>
      </c>
      <c r="S48" t="s">
        <v>98</v>
      </c>
      <c r="T48">
        <v>114.377877</v>
      </c>
      <c r="U48" t="s">
        <v>99</v>
      </c>
      <c r="V48">
        <v>89</v>
      </c>
      <c r="W48">
        <v>17</v>
      </c>
      <c r="X48">
        <v>11</v>
      </c>
      <c r="Y48" t="s">
        <v>189</v>
      </c>
    </row>
    <row r="49" spans="1:25" x14ac:dyDescent="0.3">
      <c r="A49" t="s">
        <v>26</v>
      </c>
      <c r="B49" t="s">
        <v>96</v>
      </c>
      <c r="C49">
        <v>210</v>
      </c>
      <c r="D49">
        <v>196</v>
      </c>
      <c r="E49">
        <v>1</v>
      </c>
      <c r="F49">
        <v>163</v>
      </c>
      <c r="G49">
        <v>45</v>
      </c>
      <c r="H49">
        <v>0</v>
      </c>
      <c r="I49">
        <v>0</v>
      </c>
      <c r="J49">
        <v>0</v>
      </c>
      <c r="K49" t="s">
        <v>2</v>
      </c>
      <c r="L49">
        <v>26</v>
      </c>
      <c r="M49">
        <v>67</v>
      </c>
      <c r="N49">
        <v>158</v>
      </c>
      <c r="O49">
        <v>265</v>
      </c>
      <c r="P49">
        <v>1.19</v>
      </c>
      <c r="Q49">
        <v>0.91242000000000001</v>
      </c>
      <c r="R49" t="s">
        <v>97</v>
      </c>
      <c r="S49" t="s">
        <v>98</v>
      </c>
      <c r="T49">
        <v>178.83431999999999</v>
      </c>
      <c r="U49" t="s">
        <v>99</v>
      </c>
      <c r="V49">
        <v>84</v>
      </c>
      <c r="W49">
        <v>11</v>
      </c>
      <c r="X49">
        <v>9</v>
      </c>
      <c r="Y49" t="s">
        <v>189</v>
      </c>
    </row>
    <row r="50" spans="1:25" x14ac:dyDescent="0.3">
      <c r="A50" t="s">
        <v>42</v>
      </c>
      <c r="B50" t="s">
        <v>96</v>
      </c>
      <c r="C50">
        <v>196</v>
      </c>
      <c r="D50">
        <v>156</v>
      </c>
      <c r="E50">
        <v>10</v>
      </c>
      <c r="F50">
        <v>182</v>
      </c>
      <c r="G50">
        <v>0</v>
      </c>
      <c r="H50">
        <v>0</v>
      </c>
      <c r="I50">
        <v>0</v>
      </c>
      <c r="J50">
        <v>0</v>
      </c>
      <c r="K50" t="s">
        <v>2</v>
      </c>
      <c r="L50">
        <v>30</v>
      </c>
      <c r="M50">
        <v>129</v>
      </c>
      <c r="N50">
        <v>277</v>
      </c>
      <c r="O50">
        <v>404</v>
      </c>
      <c r="P50">
        <v>1.89</v>
      </c>
      <c r="Q50">
        <v>0.37674000000000002</v>
      </c>
      <c r="R50" t="s">
        <v>97</v>
      </c>
      <c r="S50" t="s">
        <v>98</v>
      </c>
      <c r="T50">
        <v>58.771439999999998</v>
      </c>
      <c r="U50" t="s">
        <v>99</v>
      </c>
      <c r="V50">
        <v>40</v>
      </c>
      <c r="W50">
        <v>5</v>
      </c>
      <c r="X50">
        <v>5</v>
      </c>
      <c r="Y50" t="s">
        <v>191</v>
      </c>
    </row>
    <row r="51" spans="1:25" x14ac:dyDescent="0.3">
      <c r="A51" t="s">
        <v>33</v>
      </c>
      <c r="B51" t="s">
        <v>96</v>
      </c>
      <c r="C51">
        <v>217</v>
      </c>
      <c r="D51">
        <v>76</v>
      </c>
      <c r="E51">
        <v>89</v>
      </c>
      <c r="F51">
        <v>86</v>
      </c>
      <c r="G51">
        <v>0</v>
      </c>
      <c r="H51">
        <v>0</v>
      </c>
      <c r="I51">
        <v>0</v>
      </c>
      <c r="J51">
        <v>0</v>
      </c>
      <c r="K51" t="s">
        <v>2</v>
      </c>
      <c r="L51">
        <v>49</v>
      </c>
      <c r="M51">
        <v>148</v>
      </c>
      <c r="N51">
        <v>254</v>
      </c>
      <c r="O51">
        <v>378</v>
      </c>
      <c r="P51">
        <v>1.92</v>
      </c>
      <c r="Q51">
        <v>0.33652500000000002</v>
      </c>
      <c r="R51" t="s">
        <v>97</v>
      </c>
      <c r="S51" t="s">
        <v>98</v>
      </c>
      <c r="T51">
        <v>25.575900000000001</v>
      </c>
      <c r="U51" t="s">
        <v>99</v>
      </c>
      <c r="V51">
        <v>49</v>
      </c>
      <c r="W51">
        <v>3</v>
      </c>
      <c r="X51">
        <v>4</v>
      </c>
      <c r="Y51" t="s">
        <v>189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4EBB-3765-4EB0-A65C-0655A1017727}">
  <dimension ref="A1:C51"/>
  <sheetViews>
    <sheetView workbookViewId="0">
      <selection activeCell="G7" sqref="G7"/>
    </sheetView>
  </sheetViews>
  <sheetFormatPr defaultRowHeight="14.4" x14ac:dyDescent="0.3"/>
  <cols>
    <col min="1" max="1" width="6.6640625" bestFit="1" customWidth="1"/>
    <col min="2" max="2" width="30" bestFit="1" customWidth="1"/>
    <col min="3" max="3" width="18.88671875" bestFit="1" customWidth="1"/>
    <col min="4" max="6" width="30" bestFit="1" customWidth="1"/>
  </cols>
  <sheetData>
    <row r="1" spans="1:3" x14ac:dyDescent="0.3">
      <c r="A1" t="s">
        <v>0</v>
      </c>
      <c r="B1" t="s">
        <v>101</v>
      </c>
      <c r="C1" t="s">
        <v>192</v>
      </c>
    </row>
    <row r="2" spans="1:3" x14ac:dyDescent="0.3">
      <c r="A2" t="s">
        <v>23</v>
      </c>
      <c r="B2">
        <v>9</v>
      </c>
      <c r="C2" t="s">
        <v>193</v>
      </c>
    </row>
    <row r="3" spans="1:3" x14ac:dyDescent="0.3">
      <c r="A3" t="s">
        <v>34</v>
      </c>
      <c r="B3">
        <v>4</v>
      </c>
      <c r="C3" t="s">
        <v>193</v>
      </c>
    </row>
    <row r="4" spans="1:3" x14ac:dyDescent="0.3">
      <c r="A4" t="s">
        <v>31</v>
      </c>
      <c r="B4">
        <v>4</v>
      </c>
      <c r="C4" t="s">
        <v>193</v>
      </c>
    </row>
    <row r="5" spans="1:3" x14ac:dyDescent="0.3">
      <c r="A5" t="s">
        <v>39</v>
      </c>
      <c r="B5">
        <v>4</v>
      </c>
      <c r="C5" t="s">
        <v>193</v>
      </c>
    </row>
    <row r="6" spans="1:3" x14ac:dyDescent="0.3">
      <c r="A6" t="s">
        <v>45</v>
      </c>
      <c r="B6">
        <v>2</v>
      </c>
      <c r="C6" t="s">
        <v>193</v>
      </c>
    </row>
    <row r="7" spans="1:3" x14ac:dyDescent="0.3">
      <c r="A7" t="s">
        <v>44</v>
      </c>
      <c r="B7">
        <v>3</v>
      </c>
      <c r="C7" t="s">
        <v>193</v>
      </c>
    </row>
    <row r="8" spans="1:3" x14ac:dyDescent="0.3">
      <c r="A8" t="s">
        <v>47</v>
      </c>
      <c r="B8">
        <v>9</v>
      </c>
      <c r="C8" t="s">
        <v>193</v>
      </c>
    </row>
    <row r="9" spans="1:3" x14ac:dyDescent="0.3">
      <c r="A9" t="s">
        <v>43</v>
      </c>
      <c r="B9">
        <v>6</v>
      </c>
      <c r="C9" t="s">
        <v>193</v>
      </c>
    </row>
    <row r="10" spans="1:3" x14ac:dyDescent="0.3">
      <c r="A10" t="s">
        <v>11</v>
      </c>
      <c r="B10">
        <v>13</v>
      </c>
      <c r="C10" t="s">
        <v>193</v>
      </c>
    </row>
    <row r="11" spans="1:3" x14ac:dyDescent="0.3">
      <c r="A11" t="s">
        <v>7</v>
      </c>
      <c r="B11">
        <v>4</v>
      </c>
      <c r="C11" t="s">
        <v>193</v>
      </c>
    </row>
    <row r="12" spans="1:3" x14ac:dyDescent="0.3">
      <c r="A12" t="s">
        <v>4</v>
      </c>
      <c r="B12">
        <v>79</v>
      </c>
      <c r="C12" t="s">
        <v>193</v>
      </c>
    </row>
    <row r="13" spans="1:3" x14ac:dyDescent="0.3">
      <c r="A13" t="s">
        <v>3</v>
      </c>
      <c r="B13">
        <v>44</v>
      </c>
      <c r="C13" t="s">
        <v>193</v>
      </c>
    </row>
    <row r="14" spans="1:3" x14ac:dyDescent="0.3">
      <c r="A14" t="s">
        <v>1</v>
      </c>
      <c r="B14">
        <v>10</v>
      </c>
      <c r="C14" t="s">
        <v>193</v>
      </c>
    </row>
    <row r="15" spans="1:3" x14ac:dyDescent="0.3">
      <c r="A15" t="s">
        <v>5</v>
      </c>
      <c r="B15">
        <v>2</v>
      </c>
      <c r="C15" t="s">
        <v>193</v>
      </c>
    </row>
    <row r="16" spans="1:3" x14ac:dyDescent="0.3">
      <c r="A16" t="s">
        <v>38</v>
      </c>
      <c r="B16">
        <v>18</v>
      </c>
      <c r="C16" t="s">
        <v>193</v>
      </c>
    </row>
    <row r="17" spans="1:3" x14ac:dyDescent="0.3">
      <c r="A17" t="s">
        <v>9</v>
      </c>
      <c r="B17">
        <v>24</v>
      </c>
      <c r="C17" t="s">
        <v>193</v>
      </c>
    </row>
    <row r="18" spans="1:3" x14ac:dyDescent="0.3">
      <c r="A18" t="s">
        <v>32</v>
      </c>
      <c r="B18">
        <v>22</v>
      </c>
      <c r="C18" t="s">
        <v>193</v>
      </c>
    </row>
    <row r="19" spans="1:3" x14ac:dyDescent="0.3">
      <c r="A19" t="s">
        <v>36</v>
      </c>
      <c r="B19">
        <v>25</v>
      </c>
      <c r="C19" t="s">
        <v>193</v>
      </c>
    </row>
    <row r="20" spans="1:3" x14ac:dyDescent="0.3">
      <c r="A20" t="s">
        <v>8</v>
      </c>
      <c r="B20">
        <v>21</v>
      </c>
      <c r="C20" t="s">
        <v>193</v>
      </c>
    </row>
    <row r="21" spans="1:3" x14ac:dyDescent="0.3">
      <c r="A21" t="s">
        <v>41</v>
      </c>
      <c r="B21">
        <v>22</v>
      </c>
      <c r="C21" t="s">
        <v>193</v>
      </c>
    </row>
    <row r="22" spans="1:3" x14ac:dyDescent="0.3">
      <c r="A22" t="s">
        <v>37</v>
      </c>
      <c r="B22">
        <v>8</v>
      </c>
      <c r="C22" t="s">
        <v>193</v>
      </c>
    </row>
    <row r="23" spans="1:3" x14ac:dyDescent="0.3">
      <c r="A23" t="s">
        <v>6</v>
      </c>
      <c r="B23">
        <v>73</v>
      </c>
      <c r="C23" t="s">
        <v>193</v>
      </c>
    </row>
    <row r="24" spans="1:3" x14ac:dyDescent="0.3">
      <c r="A24" t="s">
        <v>12</v>
      </c>
      <c r="B24">
        <v>30</v>
      </c>
      <c r="C24" t="s">
        <v>193</v>
      </c>
    </row>
    <row r="25" spans="1:3" x14ac:dyDescent="0.3">
      <c r="A25" t="s">
        <v>13</v>
      </c>
      <c r="B25">
        <v>21</v>
      </c>
      <c r="C25" t="s">
        <v>193</v>
      </c>
    </row>
    <row r="26" spans="1:3" x14ac:dyDescent="0.3">
      <c r="A26" t="s">
        <v>14</v>
      </c>
      <c r="B26">
        <v>45</v>
      </c>
      <c r="C26" t="s">
        <v>193</v>
      </c>
    </row>
    <row r="27" spans="1:3" x14ac:dyDescent="0.3">
      <c r="A27" t="s">
        <v>15</v>
      </c>
      <c r="B27">
        <v>72</v>
      </c>
      <c r="C27" t="s">
        <v>193</v>
      </c>
    </row>
    <row r="28" spans="1:3" x14ac:dyDescent="0.3">
      <c r="A28" t="s">
        <v>16</v>
      </c>
      <c r="B28">
        <v>8</v>
      </c>
      <c r="C28" t="s">
        <v>193</v>
      </c>
    </row>
    <row r="29" spans="1:3" x14ac:dyDescent="0.3">
      <c r="A29" t="s">
        <v>48</v>
      </c>
      <c r="B29">
        <v>7</v>
      </c>
      <c r="C29" t="s">
        <v>193</v>
      </c>
    </row>
    <row r="30" spans="1:3" x14ac:dyDescent="0.3">
      <c r="A30" t="s">
        <v>17</v>
      </c>
      <c r="B30">
        <v>16</v>
      </c>
      <c r="C30" t="s">
        <v>193</v>
      </c>
    </row>
    <row r="31" spans="1:3" x14ac:dyDescent="0.3">
      <c r="A31" t="s">
        <v>18</v>
      </c>
      <c r="B31">
        <v>13</v>
      </c>
      <c r="C31" t="s">
        <v>193</v>
      </c>
    </row>
    <row r="32" spans="1:3" x14ac:dyDescent="0.3">
      <c r="A32" t="s">
        <v>19</v>
      </c>
      <c r="B32">
        <v>14</v>
      </c>
      <c r="C32" t="s">
        <v>193</v>
      </c>
    </row>
    <row r="33" spans="1:3" x14ac:dyDescent="0.3">
      <c r="A33" t="s">
        <v>20</v>
      </c>
      <c r="B33">
        <v>8</v>
      </c>
      <c r="C33" t="s">
        <v>193</v>
      </c>
    </row>
    <row r="34" spans="1:3" x14ac:dyDescent="0.3">
      <c r="A34" t="s">
        <v>46</v>
      </c>
      <c r="B34">
        <v>36</v>
      </c>
      <c r="C34" t="s">
        <v>193</v>
      </c>
    </row>
    <row r="35" spans="1:3" x14ac:dyDescent="0.3">
      <c r="A35" t="s">
        <v>10</v>
      </c>
      <c r="B35">
        <v>9</v>
      </c>
      <c r="C35" t="s">
        <v>193</v>
      </c>
    </row>
    <row r="36" spans="1:3" x14ac:dyDescent="0.3">
      <c r="A36" t="s">
        <v>51</v>
      </c>
      <c r="B36">
        <v>21</v>
      </c>
      <c r="C36" t="s">
        <v>193</v>
      </c>
    </row>
    <row r="37" spans="1:3" x14ac:dyDescent="0.3">
      <c r="A37" t="s">
        <v>40</v>
      </c>
      <c r="B37">
        <v>4</v>
      </c>
      <c r="C37" t="s">
        <v>193</v>
      </c>
    </row>
    <row r="38" spans="1:3" x14ac:dyDescent="0.3">
      <c r="A38" t="s">
        <v>24</v>
      </c>
      <c r="B38">
        <v>38</v>
      </c>
      <c r="C38" t="s">
        <v>193</v>
      </c>
    </row>
    <row r="39" spans="1:3" x14ac:dyDescent="0.3">
      <c r="A39" t="s">
        <v>21</v>
      </c>
      <c r="B39">
        <v>12</v>
      </c>
      <c r="C39" t="s">
        <v>193</v>
      </c>
    </row>
    <row r="40" spans="1:3" x14ac:dyDescent="0.3">
      <c r="A40" t="s">
        <v>22</v>
      </c>
      <c r="B40">
        <v>28</v>
      </c>
      <c r="C40" t="s">
        <v>193</v>
      </c>
    </row>
    <row r="41" spans="1:3" x14ac:dyDescent="0.3">
      <c r="A41" t="s">
        <v>28</v>
      </c>
      <c r="B41">
        <v>5</v>
      </c>
      <c r="C41" t="s">
        <v>193</v>
      </c>
    </row>
    <row r="42" spans="1:3" x14ac:dyDescent="0.3">
      <c r="A42" t="s">
        <v>35</v>
      </c>
      <c r="B42">
        <v>7</v>
      </c>
      <c r="C42" t="s">
        <v>193</v>
      </c>
    </row>
    <row r="43" spans="1:3" x14ac:dyDescent="0.3">
      <c r="A43" t="s">
        <v>26</v>
      </c>
      <c r="B43">
        <v>1</v>
      </c>
      <c r="C43" t="s">
        <v>193</v>
      </c>
    </row>
    <row r="44" spans="1:3" x14ac:dyDescent="0.3">
      <c r="A44" t="s">
        <v>42</v>
      </c>
      <c r="B44">
        <v>7</v>
      </c>
      <c r="C44" t="s">
        <v>193</v>
      </c>
    </row>
    <row r="45" spans="1:3" x14ac:dyDescent="0.3">
      <c r="A45" t="s">
        <v>27</v>
      </c>
      <c r="B45">
        <v>3</v>
      </c>
      <c r="C45" t="s">
        <v>193</v>
      </c>
    </row>
    <row r="46" spans="1:3" x14ac:dyDescent="0.3">
      <c r="A46" t="s">
        <v>29</v>
      </c>
      <c r="B46">
        <v>3</v>
      </c>
      <c r="C46" t="s">
        <v>193</v>
      </c>
    </row>
    <row r="47" spans="1:3" x14ac:dyDescent="0.3">
      <c r="A47" t="s">
        <v>25</v>
      </c>
      <c r="B47">
        <v>10</v>
      </c>
      <c r="C47" t="s">
        <v>193</v>
      </c>
    </row>
    <row r="48" spans="1:3" x14ac:dyDescent="0.3">
      <c r="A48" t="s">
        <v>33</v>
      </c>
      <c r="B48">
        <v>10</v>
      </c>
      <c r="C48" t="s">
        <v>193</v>
      </c>
    </row>
    <row r="49" spans="1:3" x14ac:dyDescent="0.3">
      <c r="A49" t="s">
        <v>30</v>
      </c>
      <c r="B49">
        <v>4</v>
      </c>
      <c r="C49" t="s">
        <v>193</v>
      </c>
    </row>
    <row r="50" spans="1:3" x14ac:dyDescent="0.3">
      <c r="A50" t="s">
        <v>50</v>
      </c>
      <c r="B50">
        <v>4</v>
      </c>
      <c r="C50" t="s">
        <v>193</v>
      </c>
    </row>
    <row r="51" spans="1:3" x14ac:dyDescent="0.3">
      <c r="A51" t="s">
        <v>49</v>
      </c>
      <c r="B51">
        <v>2</v>
      </c>
      <c r="C51" t="s">
        <v>193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C32F-6CD4-4AE9-B3CE-409F8040618C}">
  <dimension ref="A1:O50"/>
  <sheetViews>
    <sheetView topLeftCell="G26" workbookViewId="0">
      <selection activeCell="A26" sqref="A26:A50"/>
    </sheetView>
  </sheetViews>
  <sheetFormatPr defaultRowHeight="14.4" x14ac:dyDescent="0.3"/>
  <cols>
    <col min="1" max="1" width="6.6640625" bestFit="1" customWidth="1"/>
    <col min="2" max="2" width="32.88671875" bestFit="1" customWidth="1"/>
    <col min="3" max="3" width="14" bestFit="1" customWidth="1"/>
    <col min="4" max="4" width="18.88671875" bestFit="1" customWidth="1"/>
    <col min="5" max="5" width="9.77734375" bestFit="1" customWidth="1"/>
    <col min="6" max="6" width="13" bestFit="1" customWidth="1"/>
    <col min="7" max="7" width="15.44140625" bestFit="1" customWidth="1"/>
    <col min="8" max="8" width="6.88671875" bestFit="1" customWidth="1"/>
    <col min="9" max="9" width="14.6640625" bestFit="1" customWidth="1"/>
    <col min="10" max="10" width="31.77734375" bestFit="1" customWidth="1"/>
    <col min="11" max="11" width="23.88671875" bestFit="1" customWidth="1"/>
    <col min="12" max="12" width="12.109375" bestFit="1" customWidth="1"/>
    <col min="13" max="13" width="11.77734375" bestFit="1" customWidth="1"/>
    <col min="14" max="14" width="12" bestFit="1" customWidth="1"/>
    <col min="15" max="15" width="17.44140625" bestFit="1" customWidth="1"/>
  </cols>
  <sheetData>
    <row r="1" spans="1:15" x14ac:dyDescent="0.3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184</v>
      </c>
      <c r="M1" t="s">
        <v>185</v>
      </c>
      <c r="N1" t="s">
        <v>186</v>
      </c>
      <c r="O1" t="s">
        <v>187</v>
      </c>
    </row>
    <row r="2" spans="1:15" x14ac:dyDescent="0.3">
      <c r="A2" t="s">
        <v>23</v>
      </c>
      <c r="B2" t="s">
        <v>112</v>
      </c>
      <c r="C2" t="s">
        <v>113</v>
      </c>
      <c r="D2" t="s">
        <v>114</v>
      </c>
      <c r="E2">
        <v>15.11</v>
      </c>
      <c r="F2">
        <v>0.44</v>
      </c>
      <c r="G2">
        <v>0.75</v>
      </c>
      <c r="H2">
        <v>16</v>
      </c>
      <c r="I2" t="s">
        <v>62</v>
      </c>
      <c r="J2">
        <v>0.2</v>
      </c>
      <c r="K2">
        <v>0.35</v>
      </c>
      <c r="L2">
        <v>16.299999999999997</v>
      </c>
      <c r="M2">
        <v>32.299999999999997</v>
      </c>
      <c r="N2">
        <v>32.364729458917836</v>
      </c>
      <c r="O2">
        <v>32.41344706472654</v>
      </c>
    </row>
    <row r="3" spans="1:15" x14ac:dyDescent="0.3">
      <c r="A3" t="s">
        <v>34</v>
      </c>
      <c r="B3" t="s">
        <v>115</v>
      </c>
      <c r="C3" t="s">
        <v>113</v>
      </c>
      <c r="D3" t="s">
        <v>114</v>
      </c>
      <c r="E3">
        <v>13.55</v>
      </c>
      <c r="F3">
        <v>0.3</v>
      </c>
      <c r="G3">
        <v>0.75</v>
      </c>
      <c r="H3">
        <v>12</v>
      </c>
      <c r="I3" t="s">
        <v>66</v>
      </c>
      <c r="J3">
        <v>0.2</v>
      </c>
      <c r="K3">
        <v>0.35</v>
      </c>
      <c r="L3">
        <v>14.600000000000001</v>
      </c>
      <c r="M3">
        <v>26.6</v>
      </c>
      <c r="N3">
        <v>26.653306613226455</v>
      </c>
      <c r="O3">
        <v>26.693426994480681</v>
      </c>
    </row>
    <row r="4" spans="1:15" x14ac:dyDescent="0.3">
      <c r="A4" t="s">
        <v>31</v>
      </c>
      <c r="B4" t="s">
        <v>116</v>
      </c>
      <c r="C4" t="s">
        <v>113</v>
      </c>
      <c r="D4" t="s">
        <v>114</v>
      </c>
      <c r="E4">
        <v>13.94</v>
      </c>
      <c r="F4">
        <v>0.34</v>
      </c>
      <c r="G4">
        <v>0.75</v>
      </c>
      <c r="H4">
        <v>15</v>
      </c>
      <c r="I4" t="s">
        <v>67</v>
      </c>
      <c r="J4">
        <v>0.2</v>
      </c>
      <c r="K4">
        <v>0.35</v>
      </c>
      <c r="L4">
        <v>15.03</v>
      </c>
      <c r="M4">
        <v>30.03</v>
      </c>
      <c r="N4">
        <v>30.090180360721444</v>
      </c>
      <c r="O4">
        <v>30.135474159558456</v>
      </c>
    </row>
    <row r="5" spans="1:15" x14ac:dyDescent="0.3">
      <c r="A5" t="s">
        <v>39</v>
      </c>
      <c r="B5" t="s">
        <v>117</v>
      </c>
      <c r="C5" t="s">
        <v>113</v>
      </c>
      <c r="D5" t="s">
        <v>114</v>
      </c>
      <c r="E5">
        <v>12.89</v>
      </c>
      <c r="F5">
        <v>0.3</v>
      </c>
      <c r="G5">
        <v>0.75</v>
      </c>
      <c r="H5">
        <v>12</v>
      </c>
      <c r="I5" t="s">
        <v>61</v>
      </c>
      <c r="J5">
        <v>0.2</v>
      </c>
      <c r="K5">
        <v>0.35</v>
      </c>
      <c r="L5">
        <v>13.940000000000001</v>
      </c>
      <c r="M5">
        <v>25.94</v>
      </c>
      <c r="N5">
        <v>25.991983967935873</v>
      </c>
      <c r="O5">
        <v>26.031108881083792</v>
      </c>
    </row>
    <row r="6" spans="1:15" x14ac:dyDescent="0.3">
      <c r="A6" t="s">
        <v>50</v>
      </c>
      <c r="B6" t="s">
        <v>118</v>
      </c>
      <c r="C6" t="s">
        <v>119</v>
      </c>
      <c r="D6" t="s">
        <v>114</v>
      </c>
      <c r="E6">
        <v>11.8</v>
      </c>
      <c r="F6">
        <v>0.22</v>
      </c>
      <c r="G6">
        <v>0.75</v>
      </c>
      <c r="H6">
        <v>13</v>
      </c>
      <c r="I6" t="s">
        <v>64</v>
      </c>
      <c r="J6">
        <v>0.25</v>
      </c>
      <c r="K6">
        <v>0.45</v>
      </c>
      <c r="L6">
        <v>12.770000000000001</v>
      </c>
      <c r="M6">
        <v>25.770000000000003</v>
      </c>
      <c r="N6">
        <v>25.834586466165415</v>
      </c>
      <c r="O6">
        <v>25.886489201406331</v>
      </c>
    </row>
    <row r="7" spans="1:15" x14ac:dyDescent="0.3">
      <c r="A7" t="s">
        <v>49</v>
      </c>
      <c r="B7" t="s">
        <v>120</v>
      </c>
      <c r="C7" t="s">
        <v>119</v>
      </c>
      <c r="D7" t="s">
        <v>114</v>
      </c>
      <c r="E7">
        <v>8.5</v>
      </c>
      <c r="F7">
        <v>0.12</v>
      </c>
      <c r="G7">
        <v>0.75</v>
      </c>
      <c r="H7">
        <v>5</v>
      </c>
      <c r="I7" t="s">
        <v>121</v>
      </c>
      <c r="J7">
        <v>0.25</v>
      </c>
      <c r="K7">
        <v>0.45</v>
      </c>
      <c r="L7">
        <v>9.3699999999999992</v>
      </c>
      <c r="M7">
        <v>14.37</v>
      </c>
      <c r="N7">
        <v>14.406015037593983</v>
      </c>
      <c r="O7">
        <v>14.434957307885483</v>
      </c>
    </row>
    <row r="8" spans="1:15" x14ac:dyDescent="0.3">
      <c r="A8" t="s">
        <v>30</v>
      </c>
      <c r="B8" t="s">
        <v>122</v>
      </c>
      <c r="C8" t="s">
        <v>113</v>
      </c>
      <c r="D8" t="s">
        <v>114</v>
      </c>
      <c r="E8">
        <v>17.850000000000001</v>
      </c>
      <c r="F8">
        <v>0.27</v>
      </c>
      <c r="G8">
        <v>0.75</v>
      </c>
      <c r="H8">
        <v>11</v>
      </c>
      <c r="I8" t="s">
        <v>67</v>
      </c>
      <c r="J8">
        <v>0.2</v>
      </c>
      <c r="K8">
        <v>0.35</v>
      </c>
      <c r="L8">
        <v>18.87</v>
      </c>
      <c r="M8">
        <v>29.87</v>
      </c>
      <c r="N8">
        <v>29.92985971943888</v>
      </c>
      <c r="O8">
        <v>29.97491219267436</v>
      </c>
    </row>
    <row r="9" spans="1:15" x14ac:dyDescent="0.3">
      <c r="A9" t="s">
        <v>44</v>
      </c>
      <c r="B9" t="s">
        <v>123</v>
      </c>
      <c r="C9" t="s">
        <v>119</v>
      </c>
      <c r="D9" t="s">
        <v>114</v>
      </c>
      <c r="E9">
        <v>12.11</v>
      </c>
      <c r="F9">
        <v>0.25</v>
      </c>
      <c r="G9">
        <v>0.75</v>
      </c>
      <c r="H9">
        <v>13</v>
      </c>
      <c r="I9" t="s">
        <v>61</v>
      </c>
      <c r="J9">
        <v>0.25</v>
      </c>
      <c r="K9">
        <v>0.45</v>
      </c>
      <c r="L9">
        <v>13.11</v>
      </c>
      <c r="M9">
        <v>26.11</v>
      </c>
      <c r="N9">
        <v>26.175438596491226</v>
      </c>
      <c r="O9">
        <v>26.228026117528877</v>
      </c>
    </row>
    <row r="10" spans="1:15" x14ac:dyDescent="0.3">
      <c r="A10" t="s">
        <v>45</v>
      </c>
      <c r="B10" t="s">
        <v>124</v>
      </c>
      <c r="C10" t="s">
        <v>119</v>
      </c>
      <c r="D10" t="s">
        <v>114</v>
      </c>
      <c r="E10">
        <v>8.08</v>
      </c>
      <c r="F10">
        <v>0.09</v>
      </c>
      <c r="G10">
        <v>0.75</v>
      </c>
      <c r="H10">
        <v>6</v>
      </c>
      <c r="I10" t="s">
        <v>65</v>
      </c>
      <c r="J10">
        <v>0.25</v>
      </c>
      <c r="K10">
        <v>0.45</v>
      </c>
      <c r="L10">
        <v>8.92</v>
      </c>
      <c r="M10">
        <v>14.92</v>
      </c>
      <c r="N10">
        <v>14.957393483709271</v>
      </c>
      <c r="O10">
        <v>14.987443495730787</v>
      </c>
    </row>
    <row r="11" spans="1:15" x14ac:dyDescent="0.3">
      <c r="A11" t="s">
        <v>47</v>
      </c>
      <c r="B11" t="s">
        <v>125</v>
      </c>
      <c r="C11" t="s">
        <v>113</v>
      </c>
      <c r="D11" t="s">
        <v>114</v>
      </c>
      <c r="E11">
        <v>9.52</v>
      </c>
      <c r="F11">
        <v>0.13</v>
      </c>
      <c r="G11">
        <v>0.75</v>
      </c>
      <c r="H11">
        <v>7</v>
      </c>
      <c r="I11" t="s">
        <v>71</v>
      </c>
      <c r="J11">
        <v>0.2</v>
      </c>
      <c r="K11">
        <v>0.35</v>
      </c>
      <c r="L11">
        <v>10.4</v>
      </c>
      <c r="M11">
        <v>17.399999999999999</v>
      </c>
      <c r="N11">
        <v>17.434869739478955</v>
      </c>
      <c r="O11">
        <v>17.461113898645255</v>
      </c>
    </row>
    <row r="12" spans="1:15" x14ac:dyDescent="0.3">
      <c r="A12" t="s">
        <v>43</v>
      </c>
      <c r="B12" t="s">
        <v>126</v>
      </c>
      <c r="C12" t="s">
        <v>113</v>
      </c>
      <c r="D12" t="s">
        <v>114</v>
      </c>
      <c r="E12">
        <v>9.36</v>
      </c>
      <c r="F12">
        <v>0.15</v>
      </c>
      <c r="G12">
        <v>0.75</v>
      </c>
      <c r="H12">
        <v>5</v>
      </c>
      <c r="I12" t="s">
        <v>63</v>
      </c>
      <c r="J12">
        <v>0.2</v>
      </c>
      <c r="K12">
        <v>0.35</v>
      </c>
      <c r="L12">
        <v>10.26</v>
      </c>
      <c r="M12">
        <v>15.26</v>
      </c>
      <c r="N12">
        <v>15.290581162324649</v>
      </c>
      <c r="O12">
        <v>15.313597591570495</v>
      </c>
    </row>
    <row r="13" spans="1:15" x14ac:dyDescent="0.3">
      <c r="A13" t="s">
        <v>11</v>
      </c>
      <c r="B13" t="s">
        <v>127</v>
      </c>
      <c r="C13" t="s">
        <v>113</v>
      </c>
      <c r="D13" t="s">
        <v>114</v>
      </c>
      <c r="E13">
        <v>10.9</v>
      </c>
      <c r="F13">
        <v>0.22</v>
      </c>
      <c r="G13">
        <v>0.75</v>
      </c>
      <c r="H13">
        <v>6</v>
      </c>
      <c r="I13" t="s">
        <v>71</v>
      </c>
      <c r="J13">
        <v>0.2</v>
      </c>
      <c r="K13">
        <v>0.35</v>
      </c>
      <c r="L13">
        <v>11.870000000000001</v>
      </c>
      <c r="M13">
        <v>17.87</v>
      </c>
      <c r="N13">
        <v>17.905811623246493</v>
      </c>
      <c r="O13">
        <v>17.932764676367285</v>
      </c>
    </row>
    <row r="14" spans="1:15" x14ac:dyDescent="0.3">
      <c r="A14" t="s">
        <v>7</v>
      </c>
      <c r="B14" t="s">
        <v>128</v>
      </c>
      <c r="C14" t="s">
        <v>113</v>
      </c>
      <c r="D14" t="s">
        <v>114</v>
      </c>
      <c r="E14">
        <v>9.9700000000000006</v>
      </c>
      <c r="F14">
        <v>0.08</v>
      </c>
      <c r="G14">
        <v>0.75</v>
      </c>
      <c r="H14">
        <v>7</v>
      </c>
      <c r="I14" t="s">
        <v>59</v>
      </c>
      <c r="J14">
        <v>0.2</v>
      </c>
      <c r="K14">
        <v>0.35</v>
      </c>
      <c r="L14">
        <v>10.8</v>
      </c>
      <c r="M14">
        <v>17.8</v>
      </c>
      <c r="N14">
        <v>17.835671342685373</v>
      </c>
      <c r="O14">
        <v>17.862518815855495</v>
      </c>
    </row>
    <row r="15" spans="1:15" x14ac:dyDescent="0.3">
      <c r="A15" t="s">
        <v>4</v>
      </c>
      <c r="B15" t="s">
        <v>129</v>
      </c>
      <c r="C15" t="s">
        <v>113</v>
      </c>
      <c r="D15" t="s">
        <v>114</v>
      </c>
      <c r="E15">
        <v>12.82</v>
      </c>
      <c r="F15">
        <v>0.36</v>
      </c>
      <c r="G15">
        <v>0.75</v>
      </c>
      <c r="H15">
        <v>11</v>
      </c>
      <c r="I15" t="s">
        <v>60</v>
      </c>
      <c r="J15">
        <v>0.2</v>
      </c>
      <c r="K15">
        <v>0.35</v>
      </c>
      <c r="L15">
        <v>13.93</v>
      </c>
      <c r="M15">
        <v>24.93</v>
      </c>
      <c r="N15">
        <v>24.979959919839679</v>
      </c>
      <c r="O15">
        <v>25.017561465127947</v>
      </c>
    </row>
    <row r="16" spans="1:15" x14ac:dyDescent="0.3">
      <c r="A16" t="s">
        <v>3</v>
      </c>
      <c r="B16" t="s">
        <v>130</v>
      </c>
      <c r="C16" t="s">
        <v>113</v>
      </c>
      <c r="D16" t="s">
        <v>114</v>
      </c>
      <c r="E16">
        <v>11.29</v>
      </c>
      <c r="F16">
        <v>0.2</v>
      </c>
      <c r="G16">
        <v>0.75</v>
      </c>
      <c r="H16">
        <v>7</v>
      </c>
      <c r="I16" t="s">
        <v>64</v>
      </c>
      <c r="J16">
        <v>0.2</v>
      </c>
      <c r="K16">
        <v>0.35</v>
      </c>
      <c r="L16">
        <v>12.239999999999998</v>
      </c>
      <c r="M16">
        <v>19.239999999999998</v>
      </c>
      <c r="N16">
        <v>19.278557114228455</v>
      </c>
      <c r="O16">
        <v>19.30757651781234</v>
      </c>
    </row>
    <row r="17" spans="1:15" x14ac:dyDescent="0.3">
      <c r="A17" t="s">
        <v>1</v>
      </c>
      <c r="B17" t="s">
        <v>131</v>
      </c>
      <c r="C17" t="s">
        <v>113</v>
      </c>
      <c r="D17" t="s">
        <v>114</v>
      </c>
      <c r="E17">
        <v>10.46</v>
      </c>
      <c r="F17">
        <v>0.19</v>
      </c>
      <c r="G17">
        <v>0.75</v>
      </c>
      <c r="H17">
        <v>6</v>
      </c>
      <c r="I17" t="s">
        <v>71</v>
      </c>
      <c r="J17">
        <v>0.2</v>
      </c>
      <c r="K17">
        <v>0.35</v>
      </c>
      <c r="L17">
        <v>11.4</v>
      </c>
      <c r="M17">
        <v>17.399999999999999</v>
      </c>
      <c r="N17">
        <v>17.434869739478955</v>
      </c>
      <c r="O17">
        <v>17.461113898645255</v>
      </c>
    </row>
    <row r="18" spans="1:15" x14ac:dyDescent="0.3">
      <c r="A18" t="s">
        <v>5</v>
      </c>
      <c r="B18" t="s">
        <v>132</v>
      </c>
      <c r="C18" t="s">
        <v>113</v>
      </c>
      <c r="D18" t="s">
        <v>114</v>
      </c>
      <c r="E18">
        <v>12.89</v>
      </c>
      <c r="F18">
        <v>0.34</v>
      </c>
      <c r="G18">
        <v>0.75</v>
      </c>
      <c r="H18">
        <v>14</v>
      </c>
      <c r="I18" t="s">
        <v>61</v>
      </c>
      <c r="J18">
        <v>0.2</v>
      </c>
      <c r="K18">
        <v>0.35</v>
      </c>
      <c r="L18">
        <v>13.98</v>
      </c>
      <c r="M18">
        <v>27.98</v>
      </c>
      <c r="N18">
        <v>28.036072144288578</v>
      </c>
      <c r="O18">
        <v>28.078273958855995</v>
      </c>
    </row>
    <row r="19" spans="1:15" x14ac:dyDescent="0.3">
      <c r="A19" t="s">
        <v>38</v>
      </c>
      <c r="B19" t="s">
        <v>133</v>
      </c>
      <c r="C19" t="s">
        <v>113</v>
      </c>
      <c r="D19" t="s">
        <v>114</v>
      </c>
      <c r="E19">
        <v>12.61</v>
      </c>
      <c r="F19">
        <v>0.37</v>
      </c>
      <c r="G19">
        <v>0.75</v>
      </c>
      <c r="H19">
        <v>14</v>
      </c>
      <c r="I19" t="s">
        <v>60</v>
      </c>
      <c r="J19">
        <v>0.2</v>
      </c>
      <c r="K19">
        <v>0.35</v>
      </c>
      <c r="L19">
        <v>13.729999999999999</v>
      </c>
      <c r="M19">
        <v>27.729999999999997</v>
      </c>
      <c r="N19">
        <v>27.785571142284567</v>
      </c>
      <c r="O19">
        <v>27.827395885599593</v>
      </c>
    </row>
    <row r="20" spans="1:15" x14ac:dyDescent="0.3">
      <c r="A20" t="s">
        <v>9</v>
      </c>
      <c r="B20" t="s">
        <v>134</v>
      </c>
      <c r="C20" t="s">
        <v>113</v>
      </c>
      <c r="D20" t="s">
        <v>114</v>
      </c>
      <c r="E20">
        <v>19.68</v>
      </c>
      <c r="F20">
        <v>0.51</v>
      </c>
      <c r="G20">
        <v>0.75</v>
      </c>
      <c r="H20">
        <v>12</v>
      </c>
      <c r="I20" t="s">
        <v>56</v>
      </c>
      <c r="J20">
        <v>0.2</v>
      </c>
      <c r="K20">
        <v>0.35</v>
      </c>
      <c r="L20">
        <v>20.94</v>
      </c>
      <c r="M20">
        <v>32.94</v>
      </c>
      <c r="N20">
        <v>33.006012024048097</v>
      </c>
      <c r="O20">
        <v>33.055694932262917</v>
      </c>
    </row>
    <row r="21" spans="1:15" x14ac:dyDescent="0.3">
      <c r="A21" t="s">
        <v>32</v>
      </c>
      <c r="B21" t="s">
        <v>135</v>
      </c>
      <c r="C21" t="s">
        <v>113</v>
      </c>
      <c r="D21" t="s">
        <v>114</v>
      </c>
      <c r="E21">
        <v>6.24</v>
      </c>
      <c r="F21">
        <v>0.03</v>
      </c>
      <c r="G21">
        <v>0.75</v>
      </c>
      <c r="H21">
        <v>4</v>
      </c>
      <c r="I21" t="s">
        <v>136</v>
      </c>
      <c r="J21">
        <v>0.2</v>
      </c>
      <c r="K21">
        <v>0.35</v>
      </c>
      <c r="L21">
        <v>7.0200000000000005</v>
      </c>
      <c r="M21">
        <v>11.02</v>
      </c>
      <c r="N21">
        <v>11.042084168336673</v>
      </c>
      <c r="O21">
        <v>11.058705469141996</v>
      </c>
    </row>
    <row r="22" spans="1:15" x14ac:dyDescent="0.3">
      <c r="A22" t="s">
        <v>36</v>
      </c>
      <c r="B22" t="s">
        <v>137</v>
      </c>
      <c r="C22" t="s">
        <v>113</v>
      </c>
      <c r="D22" t="s">
        <v>114</v>
      </c>
      <c r="E22">
        <v>10.46</v>
      </c>
      <c r="F22">
        <v>0.19</v>
      </c>
      <c r="G22">
        <v>0.75</v>
      </c>
      <c r="H22">
        <v>8</v>
      </c>
      <c r="I22" t="s">
        <v>64</v>
      </c>
      <c r="J22">
        <v>0.2</v>
      </c>
      <c r="K22">
        <v>0.35</v>
      </c>
      <c r="L22">
        <v>11.4</v>
      </c>
      <c r="M22">
        <v>19.399999999999999</v>
      </c>
      <c r="N22">
        <v>19.438877755511022</v>
      </c>
      <c r="O22">
        <v>19.468138484696436</v>
      </c>
    </row>
    <row r="23" spans="1:15" x14ac:dyDescent="0.3">
      <c r="A23" t="s">
        <v>8</v>
      </c>
      <c r="B23" t="s">
        <v>138</v>
      </c>
      <c r="C23" t="s">
        <v>113</v>
      </c>
      <c r="D23" t="s">
        <v>114</v>
      </c>
      <c r="E23">
        <v>11.12</v>
      </c>
      <c r="F23">
        <v>0.21</v>
      </c>
      <c r="G23">
        <v>0.75</v>
      </c>
      <c r="H23">
        <v>7</v>
      </c>
      <c r="I23" t="s">
        <v>139</v>
      </c>
      <c r="J23">
        <v>0.2</v>
      </c>
      <c r="K23">
        <v>0.35</v>
      </c>
      <c r="L23">
        <v>12.08</v>
      </c>
      <c r="M23">
        <v>19.079999999999998</v>
      </c>
      <c r="N23">
        <v>19.118236472945892</v>
      </c>
      <c r="O23">
        <v>19.147014550928247</v>
      </c>
    </row>
    <row r="24" spans="1:15" x14ac:dyDescent="0.3">
      <c r="A24" t="s">
        <v>41</v>
      </c>
      <c r="B24" t="s">
        <v>140</v>
      </c>
      <c r="C24" t="s">
        <v>113</v>
      </c>
      <c r="D24" t="s">
        <v>114</v>
      </c>
      <c r="E24">
        <v>5.64</v>
      </c>
      <c r="F24">
        <v>0.01</v>
      </c>
      <c r="G24">
        <v>0.75</v>
      </c>
      <c r="H24">
        <v>4</v>
      </c>
      <c r="I24" t="s">
        <v>141</v>
      </c>
      <c r="J24">
        <v>0.2</v>
      </c>
      <c r="K24">
        <v>0.35</v>
      </c>
      <c r="L24">
        <v>6.3999999999999995</v>
      </c>
      <c r="M24">
        <v>10.399999999999999</v>
      </c>
      <c r="N24">
        <v>10.420841683366731</v>
      </c>
      <c r="O24">
        <v>10.436527847466129</v>
      </c>
    </row>
    <row r="25" spans="1:15" x14ac:dyDescent="0.3">
      <c r="A25" t="s">
        <v>37</v>
      </c>
      <c r="B25" t="s">
        <v>142</v>
      </c>
      <c r="C25" t="s">
        <v>113</v>
      </c>
      <c r="D25" t="s">
        <v>114</v>
      </c>
      <c r="E25">
        <v>9.7200000000000006</v>
      </c>
      <c r="F25">
        <v>0.15</v>
      </c>
      <c r="G25">
        <v>0.75</v>
      </c>
      <c r="H25">
        <v>5</v>
      </c>
      <c r="I25" t="s">
        <v>71</v>
      </c>
      <c r="J25">
        <v>0.2</v>
      </c>
      <c r="K25">
        <v>0.35</v>
      </c>
      <c r="L25">
        <v>10.620000000000001</v>
      </c>
      <c r="M25">
        <v>15.620000000000001</v>
      </c>
      <c r="N25">
        <v>15.651302605210422</v>
      </c>
      <c r="O25">
        <v>15.674862017059709</v>
      </c>
    </row>
    <row r="26" spans="1:15" x14ac:dyDescent="0.3">
      <c r="A26" t="s">
        <v>6</v>
      </c>
      <c r="B26" t="s">
        <v>143</v>
      </c>
      <c r="C26" t="s">
        <v>113</v>
      </c>
      <c r="D26" t="s">
        <v>114</v>
      </c>
      <c r="E26">
        <v>14.05</v>
      </c>
      <c r="F26">
        <v>0.41</v>
      </c>
      <c r="G26">
        <v>0.75</v>
      </c>
      <c r="H26">
        <v>16</v>
      </c>
      <c r="I26" t="s">
        <v>67</v>
      </c>
      <c r="J26">
        <v>0.2</v>
      </c>
      <c r="K26">
        <v>0.35</v>
      </c>
      <c r="L26">
        <v>15.21</v>
      </c>
      <c r="M26">
        <v>31.21</v>
      </c>
      <c r="N26">
        <v>31.272545090180362</v>
      </c>
      <c r="O26">
        <v>31.319618665328651</v>
      </c>
    </row>
    <row r="27" spans="1:15" x14ac:dyDescent="0.3">
      <c r="A27" t="s">
        <v>12</v>
      </c>
      <c r="B27" t="s">
        <v>144</v>
      </c>
      <c r="C27" t="s">
        <v>113</v>
      </c>
      <c r="D27" t="s">
        <v>114</v>
      </c>
      <c r="E27">
        <v>12.87</v>
      </c>
      <c r="F27">
        <v>0.23</v>
      </c>
      <c r="G27">
        <v>0.75</v>
      </c>
      <c r="H27">
        <v>13</v>
      </c>
      <c r="I27" t="s">
        <v>61</v>
      </c>
      <c r="J27">
        <v>0.2</v>
      </c>
      <c r="K27">
        <v>0.35</v>
      </c>
      <c r="L27">
        <v>13.85</v>
      </c>
      <c r="M27">
        <v>26.85</v>
      </c>
      <c r="N27">
        <v>26.903807615230463</v>
      </c>
      <c r="O27">
        <v>26.94430506773708</v>
      </c>
    </row>
    <row r="28" spans="1:15" x14ac:dyDescent="0.3">
      <c r="A28" t="s">
        <v>13</v>
      </c>
      <c r="B28" t="s">
        <v>145</v>
      </c>
      <c r="C28" t="s">
        <v>113</v>
      </c>
      <c r="D28" t="s">
        <v>114</v>
      </c>
      <c r="E28">
        <v>12.2</v>
      </c>
      <c r="F28">
        <v>0.23</v>
      </c>
      <c r="G28">
        <v>0.75</v>
      </c>
      <c r="H28">
        <v>11</v>
      </c>
      <c r="I28" t="s">
        <v>58</v>
      </c>
      <c r="J28">
        <v>0.2</v>
      </c>
      <c r="K28">
        <v>0.35</v>
      </c>
      <c r="L28">
        <v>13.18</v>
      </c>
      <c r="M28">
        <v>24.18</v>
      </c>
      <c r="N28">
        <v>24.228456913827657</v>
      </c>
      <c r="O28">
        <v>24.264927245358756</v>
      </c>
    </row>
    <row r="29" spans="1:15" x14ac:dyDescent="0.3">
      <c r="A29" t="s">
        <v>14</v>
      </c>
      <c r="B29" t="s">
        <v>146</v>
      </c>
      <c r="C29" t="s">
        <v>113</v>
      </c>
      <c r="D29" t="s">
        <v>114</v>
      </c>
      <c r="E29">
        <v>10.56</v>
      </c>
      <c r="F29">
        <v>0.16</v>
      </c>
      <c r="G29">
        <v>0.75</v>
      </c>
      <c r="H29">
        <v>11</v>
      </c>
      <c r="I29" t="s">
        <v>69</v>
      </c>
      <c r="J29">
        <v>0.2</v>
      </c>
      <c r="K29">
        <v>0.35</v>
      </c>
      <c r="L29">
        <v>11.47</v>
      </c>
      <c r="M29">
        <v>22.47</v>
      </c>
      <c r="N29">
        <v>22.515030060120239</v>
      </c>
      <c r="O29">
        <v>22.548921224284996</v>
      </c>
    </row>
    <row r="30" spans="1:15" x14ac:dyDescent="0.3">
      <c r="A30" t="s">
        <v>15</v>
      </c>
      <c r="B30" t="s">
        <v>147</v>
      </c>
      <c r="C30" t="s">
        <v>113</v>
      </c>
      <c r="D30" t="s">
        <v>114</v>
      </c>
      <c r="E30">
        <v>8.89</v>
      </c>
      <c r="F30">
        <v>7.0000000000000007E-2</v>
      </c>
      <c r="G30">
        <v>0.75</v>
      </c>
      <c r="H30">
        <v>8</v>
      </c>
      <c r="I30" t="s">
        <v>64</v>
      </c>
      <c r="J30">
        <v>0.2</v>
      </c>
      <c r="K30">
        <v>0.35</v>
      </c>
      <c r="L30">
        <v>9.7100000000000009</v>
      </c>
      <c r="M30">
        <v>17.71</v>
      </c>
      <c r="N30">
        <v>17.745490981963929</v>
      </c>
      <c r="O30">
        <v>17.772202709483192</v>
      </c>
    </row>
    <row r="31" spans="1:15" x14ac:dyDescent="0.3">
      <c r="A31" t="s">
        <v>16</v>
      </c>
      <c r="B31" t="s">
        <v>148</v>
      </c>
      <c r="C31" t="s">
        <v>113</v>
      </c>
      <c r="D31" t="s">
        <v>114</v>
      </c>
      <c r="E31">
        <v>18.100000000000001</v>
      </c>
      <c r="F31">
        <v>0.38</v>
      </c>
      <c r="G31">
        <v>0.75</v>
      </c>
      <c r="H31">
        <v>16</v>
      </c>
      <c r="I31" t="s">
        <v>67</v>
      </c>
      <c r="J31">
        <v>0.2</v>
      </c>
      <c r="K31">
        <v>0.35</v>
      </c>
      <c r="L31">
        <v>19.23</v>
      </c>
      <c r="M31">
        <v>35.230000000000004</v>
      </c>
      <c r="N31">
        <v>35.300601202404813</v>
      </c>
      <c r="O31">
        <v>35.353738083291525</v>
      </c>
    </row>
    <row r="32" spans="1:15" x14ac:dyDescent="0.3">
      <c r="A32" t="s">
        <v>48</v>
      </c>
      <c r="B32" t="s">
        <v>149</v>
      </c>
      <c r="C32" t="s">
        <v>113</v>
      </c>
      <c r="D32" t="s">
        <v>114</v>
      </c>
      <c r="E32">
        <v>12.56</v>
      </c>
      <c r="F32">
        <v>0.24</v>
      </c>
      <c r="G32">
        <v>0.75</v>
      </c>
      <c r="H32">
        <v>13</v>
      </c>
      <c r="I32" t="s">
        <v>58</v>
      </c>
      <c r="J32">
        <v>0.2</v>
      </c>
      <c r="K32">
        <v>0.35</v>
      </c>
      <c r="L32">
        <v>13.55</v>
      </c>
      <c r="M32">
        <v>26.55</v>
      </c>
      <c r="N32">
        <v>26.603206412825653</v>
      </c>
      <c r="O32">
        <v>26.643251379829401</v>
      </c>
    </row>
    <row r="33" spans="1:15" x14ac:dyDescent="0.3">
      <c r="A33" t="s">
        <v>17</v>
      </c>
      <c r="B33" t="s">
        <v>150</v>
      </c>
      <c r="C33" t="s">
        <v>113</v>
      </c>
      <c r="D33" t="s">
        <v>114</v>
      </c>
      <c r="E33">
        <v>11.96</v>
      </c>
      <c r="F33">
        <v>0.2</v>
      </c>
      <c r="G33">
        <v>0.75</v>
      </c>
      <c r="H33">
        <v>11</v>
      </c>
      <c r="I33" t="s">
        <v>60</v>
      </c>
      <c r="J33">
        <v>0.2</v>
      </c>
      <c r="K33">
        <v>0.35</v>
      </c>
      <c r="L33">
        <v>12.91</v>
      </c>
      <c r="M33">
        <v>23.91</v>
      </c>
      <c r="N33">
        <v>23.957915831663328</v>
      </c>
      <c r="O33">
        <v>23.993978926241844</v>
      </c>
    </row>
    <row r="34" spans="1:15" x14ac:dyDescent="0.3">
      <c r="A34" t="s">
        <v>18</v>
      </c>
      <c r="B34" t="s">
        <v>151</v>
      </c>
      <c r="C34" t="s">
        <v>113</v>
      </c>
      <c r="D34" t="s">
        <v>114</v>
      </c>
      <c r="E34">
        <v>10.27</v>
      </c>
      <c r="F34">
        <v>0.14000000000000001</v>
      </c>
      <c r="G34">
        <v>0.75</v>
      </c>
      <c r="H34">
        <v>11</v>
      </c>
      <c r="I34" t="s">
        <v>152</v>
      </c>
      <c r="J34">
        <v>0.2</v>
      </c>
      <c r="K34">
        <v>0.35</v>
      </c>
      <c r="L34">
        <v>11.16</v>
      </c>
      <c r="M34">
        <v>22.16</v>
      </c>
      <c r="N34">
        <v>22.204408817635272</v>
      </c>
      <c r="O34">
        <v>22.237832413447062</v>
      </c>
    </row>
    <row r="35" spans="1:15" x14ac:dyDescent="0.3">
      <c r="A35" t="s">
        <v>19</v>
      </c>
      <c r="B35" t="s">
        <v>153</v>
      </c>
      <c r="C35" t="s">
        <v>113</v>
      </c>
      <c r="D35" t="s">
        <v>114</v>
      </c>
      <c r="E35">
        <v>13.41</v>
      </c>
      <c r="F35">
        <v>0.28000000000000003</v>
      </c>
      <c r="G35">
        <v>0.75</v>
      </c>
      <c r="H35">
        <v>14</v>
      </c>
      <c r="I35" t="s">
        <v>68</v>
      </c>
      <c r="J35">
        <v>0.2</v>
      </c>
      <c r="K35">
        <v>0.35</v>
      </c>
      <c r="L35">
        <v>14.44</v>
      </c>
      <c r="M35">
        <v>28.439999999999998</v>
      </c>
      <c r="N35">
        <v>28.496993987975948</v>
      </c>
      <c r="O35">
        <v>28.539889613647762</v>
      </c>
    </row>
    <row r="36" spans="1:15" x14ac:dyDescent="0.3">
      <c r="A36" t="s">
        <v>20</v>
      </c>
      <c r="B36" t="s">
        <v>154</v>
      </c>
      <c r="C36" t="s">
        <v>113</v>
      </c>
      <c r="D36" t="s">
        <v>114</v>
      </c>
      <c r="E36">
        <v>13.41</v>
      </c>
      <c r="F36">
        <v>0.33</v>
      </c>
      <c r="G36">
        <v>0.75</v>
      </c>
      <c r="H36">
        <v>14</v>
      </c>
      <c r="I36" t="s">
        <v>70</v>
      </c>
      <c r="J36">
        <v>0.2</v>
      </c>
      <c r="K36">
        <v>0.35</v>
      </c>
      <c r="L36">
        <v>14.49</v>
      </c>
      <c r="M36">
        <v>28.490000000000002</v>
      </c>
      <c r="N36">
        <v>28.547094188376757</v>
      </c>
      <c r="O36">
        <v>28.590065228299046</v>
      </c>
    </row>
    <row r="37" spans="1:15" x14ac:dyDescent="0.3">
      <c r="A37" t="s">
        <v>46</v>
      </c>
      <c r="B37" t="s">
        <v>155</v>
      </c>
      <c r="C37" t="s">
        <v>113</v>
      </c>
      <c r="D37" t="s">
        <v>114</v>
      </c>
      <c r="E37">
        <v>13.03</v>
      </c>
      <c r="F37">
        <v>0.27</v>
      </c>
      <c r="G37">
        <v>0.75</v>
      </c>
      <c r="H37">
        <v>11</v>
      </c>
      <c r="I37" t="s">
        <v>61</v>
      </c>
      <c r="J37">
        <v>0.2</v>
      </c>
      <c r="K37">
        <v>0.35</v>
      </c>
      <c r="L37">
        <v>14.049999999999999</v>
      </c>
      <c r="M37">
        <v>25.049999999999997</v>
      </c>
      <c r="N37">
        <v>25.100200400801601</v>
      </c>
      <c r="O37">
        <v>25.137982940291014</v>
      </c>
    </row>
    <row r="38" spans="1:15" x14ac:dyDescent="0.3">
      <c r="A38" t="s">
        <v>10</v>
      </c>
      <c r="B38" t="s">
        <v>156</v>
      </c>
      <c r="C38" t="s">
        <v>113</v>
      </c>
      <c r="D38" t="s">
        <v>114</v>
      </c>
      <c r="E38">
        <v>11.96</v>
      </c>
      <c r="F38">
        <v>0.21</v>
      </c>
      <c r="G38">
        <v>0.75</v>
      </c>
      <c r="H38">
        <v>13</v>
      </c>
      <c r="I38" t="s">
        <v>58</v>
      </c>
      <c r="J38">
        <v>0.2</v>
      </c>
      <c r="K38">
        <v>0.35</v>
      </c>
      <c r="L38">
        <v>12.920000000000002</v>
      </c>
      <c r="M38">
        <v>25.92</v>
      </c>
      <c r="N38">
        <v>25.971943887775552</v>
      </c>
      <c r="O38">
        <v>26.011038635223283</v>
      </c>
    </row>
    <row r="39" spans="1:15" x14ac:dyDescent="0.3">
      <c r="A39" t="s">
        <v>40</v>
      </c>
      <c r="B39" t="s">
        <v>157</v>
      </c>
      <c r="C39" t="s">
        <v>113</v>
      </c>
      <c r="D39" t="s">
        <v>114</v>
      </c>
      <c r="E39">
        <v>9.11</v>
      </c>
      <c r="F39">
        <v>7.0000000000000007E-2</v>
      </c>
      <c r="G39">
        <v>0.75</v>
      </c>
      <c r="H39">
        <v>13</v>
      </c>
      <c r="I39" t="s">
        <v>69</v>
      </c>
      <c r="J39">
        <v>0.2</v>
      </c>
      <c r="K39">
        <v>0.35</v>
      </c>
      <c r="L39">
        <v>9.93</v>
      </c>
      <c r="M39">
        <v>22.93</v>
      </c>
      <c r="N39">
        <v>22.975951903807616</v>
      </c>
      <c r="O39">
        <v>23.010536879076767</v>
      </c>
    </row>
    <row r="40" spans="1:15" x14ac:dyDescent="0.3">
      <c r="A40" t="s">
        <v>24</v>
      </c>
      <c r="B40" t="s">
        <v>158</v>
      </c>
      <c r="C40" t="s">
        <v>113</v>
      </c>
      <c r="D40" t="s">
        <v>114</v>
      </c>
      <c r="E40">
        <v>9.81</v>
      </c>
      <c r="F40">
        <v>0.11</v>
      </c>
      <c r="G40">
        <v>0.75</v>
      </c>
      <c r="H40">
        <v>9</v>
      </c>
      <c r="I40" t="s">
        <v>57</v>
      </c>
      <c r="J40">
        <v>0.2</v>
      </c>
      <c r="K40">
        <v>0.35</v>
      </c>
      <c r="L40">
        <v>10.67</v>
      </c>
      <c r="M40">
        <v>19.670000000000002</v>
      </c>
      <c r="N40">
        <v>19.709418837675351</v>
      </c>
      <c r="O40">
        <v>19.739086803813347</v>
      </c>
    </row>
    <row r="41" spans="1:15" x14ac:dyDescent="0.3">
      <c r="A41" t="s">
        <v>21</v>
      </c>
      <c r="B41" t="s">
        <v>159</v>
      </c>
      <c r="C41" t="s">
        <v>113</v>
      </c>
      <c r="D41" t="s">
        <v>114</v>
      </c>
      <c r="E41">
        <v>21.15</v>
      </c>
      <c r="F41">
        <v>0.52</v>
      </c>
      <c r="G41">
        <v>0.75</v>
      </c>
      <c r="H41">
        <v>41</v>
      </c>
      <c r="I41" t="s">
        <v>160</v>
      </c>
      <c r="J41">
        <v>0.2</v>
      </c>
      <c r="K41">
        <v>0.35</v>
      </c>
      <c r="L41">
        <v>22.419999999999998</v>
      </c>
      <c r="M41">
        <v>63.42</v>
      </c>
      <c r="N41">
        <v>63.547094188376754</v>
      </c>
      <c r="O41">
        <v>63.642749623682889</v>
      </c>
    </row>
    <row r="42" spans="1:15" x14ac:dyDescent="0.3">
      <c r="A42" t="s">
        <v>22</v>
      </c>
      <c r="B42" t="s">
        <v>161</v>
      </c>
      <c r="C42" t="s">
        <v>113</v>
      </c>
      <c r="D42" t="s">
        <v>114</v>
      </c>
      <c r="E42">
        <v>18.739999999999998</v>
      </c>
      <c r="F42">
        <v>0.3</v>
      </c>
      <c r="G42">
        <v>0.75</v>
      </c>
      <c r="H42">
        <v>31</v>
      </c>
      <c r="I42" t="s">
        <v>162</v>
      </c>
      <c r="J42">
        <v>0.2</v>
      </c>
      <c r="K42">
        <v>0.35</v>
      </c>
      <c r="L42">
        <v>19.79</v>
      </c>
      <c r="M42">
        <v>50.79</v>
      </c>
      <c r="N42">
        <v>50.891783567134269</v>
      </c>
      <c r="O42">
        <v>50.968389362769692</v>
      </c>
    </row>
    <row r="43" spans="1:15" x14ac:dyDescent="0.3">
      <c r="A43" t="s">
        <v>28</v>
      </c>
      <c r="B43" t="s">
        <v>163</v>
      </c>
      <c r="C43" t="s">
        <v>113</v>
      </c>
      <c r="D43" t="s">
        <v>114</v>
      </c>
      <c r="E43">
        <v>6.03</v>
      </c>
      <c r="F43">
        <v>0.03</v>
      </c>
      <c r="G43">
        <v>0.75</v>
      </c>
      <c r="H43">
        <v>4</v>
      </c>
      <c r="I43" t="s">
        <v>164</v>
      </c>
      <c r="J43">
        <v>0.2</v>
      </c>
      <c r="K43">
        <v>0.35</v>
      </c>
      <c r="L43">
        <v>6.8100000000000005</v>
      </c>
      <c r="M43">
        <v>10.81</v>
      </c>
      <c r="N43">
        <v>10.831663326653308</v>
      </c>
      <c r="O43">
        <v>10.847967887606623</v>
      </c>
    </row>
    <row r="44" spans="1:15" x14ac:dyDescent="0.3">
      <c r="A44" t="s">
        <v>35</v>
      </c>
      <c r="B44" t="s">
        <v>165</v>
      </c>
      <c r="C44" t="s">
        <v>113</v>
      </c>
      <c r="D44" t="s">
        <v>114</v>
      </c>
      <c r="E44">
        <v>5.88</v>
      </c>
      <c r="F44">
        <v>0.03</v>
      </c>
      <c r="G44">
        <v>0.75</v>
      </c>
      <c r="H44">
        <v>3</v>
      </c>
      <c r="I44" t="s">
        <v>136</v>
      </c>
      <c r="J44">
        <v>0.2</v>
      </c>
      <c r="K44">
        <v>0.35</v>
      </c>
      <c r="L44">
        <v>6.66</v>
      </c>
      <c r="M44">
        <v>9.66</v>
      </c>
      <c r="N44">
        <v>9.6793587174348694</v>
      </c>
      <c r="O44">
        <v>9.6939287506271956</v>
      </c>
    </row>
    <row r="45" spans="1:15" x14ac:dyDescent="0.3">
      <c r="A45" t="s">
        <v>27</v>
      </c>
      <c r="B45" t="s">
        <v>166</v>
      </c>
      <c r="C45" t="s">
        <v>113</v>
      </c>
      <c r="D45" t="s">
        <v>114</v>
      </c>
      <c r="E45">
        <v>10.85</v>
      </c>
      <c r="F45">
        <v>0.08</v>
      </c>
      <c r="G45">
        <v>0.75</v>
      </c>
      <c r="H45">
        <v>14</v>
      </c>
      <c r="I45" t="s">
        <v>61</v>
      </c>
      <c r="J45">
        <v>0.2</v>
      </c>
      <c r="K45">
        <v>0.35</v>
      </c>
      <c r="L45">
        <v>11.68</v>
      </c>
      <c r="M45">
        <v>25.68</v>
      </c>
      <c r="N45">
        <v>25.731462925851702</v>
      </c>
      <c r="O45">
        <v>25.770195684897139</v>
      </c>
    </row>
    <row r="46" spans="1:15" x14ac:dyDescent="0.3">
      <c r="A46" t="s">
        <v>29</v>
      </c>
      <c r="B46" t="s">
        <v>167</v>
      </c>
      <c r="C46" t="s">
        <v>113</v>
      </c>
      <c r="D46" t="s">
        <v>114</v>
      </c>
      <c r="E46">
        <v>9.17</v>
      </c>
      <c r="F46">
        <v>7.0000000000000007E-2</v>
      </c>
      <c r="G46">
        <v>0.75</v>
      </c>
      <c r="H46">
        <v>11</v>
      </c>
      <c r="I46" t="s">
        <v>60</v>
      </c>
      <c r="J46">
        <v>0.2</v>
      </c>
      <c r="K46">
        <v>0.35</v>
      </c>
      <c r="L46">
        <v>9.99</v>
      </c>
      <c r="M46">
        <v>20.990000000000002</v>
      </c>
      <c r="N46">
        <v>21.032064128256515</v>
      </c>
      <c r="O46">
        <v>21.063723030607125</v>
      </c>
    </row>
    <row r="47" spans="1:15" x14ac:dyDescent="0.3">
      <c r="A47" t="s">
        <v>25</v>
      </c>
      <c r="B47" t="s">
        <v>168</v>
      </c>
      <c r="C47" t="s">
        <v>113</v>
      </c>
      <c r="D47" t="s">
        <v>114</v>
      </c>
      <c r="E47">
        <v>20.21</v>
      </c>
      <c r="F47">
        <v>0.38</v>
      </c>
      <c r="G47">
        <v>0.75</v>
      </c>
      <c r="H47">
        <v>34</v>
      </c>
      <c r="I47" t="s">
        <v>169</v>
      </c>
      <c r="J47">
        <v>0.2</v>
      </c>
      <c r="K47">
        <v>0.35</v>
      </c>
      <c r="L47">
        <v>21.34</v>
      </c>
      <c r="M47">
        <v>55.34</v>
      </c>
      <c r="N47">
        <v>55.450901803607216</v>
      </c>
      <c r="O47">
        <v>55.53437029603613</v>
      </c>
    </row>
    <row r="48" spans="1:15" x14ac:dyDescent="0.3">
      <c r="A48" t="s">
        <v>26</v>
      </c>
      <c r="B48" t="s">
        <v>170</v>
      </c>
      <c r="C48" t="s">
        <v>113</v>
      </c>
      <c r="D48" t="s">
        <v>114</v>
      </c>
      <c r="E48">
        <v>23.5</v>
      </c>
      <c r="F48">
        <v>0.73</v>
      </c>
      <c r="G48">
        <v>0.75</v>
      </c>
      <c r="H48">
        <v>44</v>
      </c>
      <c r="I48" t="s">
        <v>171</v>
      </c>
      <c r="J48">
        <v>0.2</v>
      </c>
      <c r="K48">
        <v>0.35</v>
      </c>
      <c r="L48">
        <v>24.98</v>
      </c>
      <c r="M48">
        <v>68.98</v>
      </c>
      <c r="N48">
        <v>69.118236472945895</v>
      </c>
      <c r="O48">
        <v>69.222277972905175</v>
      </c>
    </row>
    <row r="49" spans="1:15" x14ac:dyDescent="0.3">
      <c r="A49" t="s">
        <v>42</v>
      </c>
      <c r="B49" t="s">
        <v>172</v>
      </c>
      <c r="C49" t="s">
        <v>113</v>
      </c>
      <c r="D49" t="s">
        <v>114</v>
      </c>
      <c r="E49">
        <v>13.51</v>
      </c>
      <c r="F49">
        <v>0.3</v>
      </c>
      <c r="G49">
        <v>0.75</v>
      </c>
      <c r="H49">
        <v>16</v>
      </c>
      <c r="I49" t="s">
        <v>68</v>
      </c>
      <c r="J49">
        <v>0.2</v>
      </c>
      <c r="K49">
        <v>0.35</v>
      </c>
      <c r="L49">
        <v>14.56</v>
      </c>
      <c r="M49">
        <v>30.560000000000002</v>
      </c>
      <c r="N49">
        <v>30.621242484969944</v>
      </c>
      <c r="O49">
        <v>30.667335674862017</v>
      </c>
    </row>
    <row r="50" spans="1:15" x14ac:dyDescent="0.3">
      <c r="A50" t="s">
        <v>33</v>
      </c>
      <c r="B50" t="s">
        <v>173</v>
      </c>
      <c r="C50" t="s">
        <v>113</v>
      </c>
      <c r="D50" t="s">
        <v>114</v>
      </c>
      <c r="E50">
        <v>12.58</v>
      </c>
      <c r="F50">
        <v>0.27</v>
      </c>
      <c r="G50">
        <v>0.75</v>
      </c>
      <c r="H50">
        <v>14</v>
      </c>
      <c r="I50" t="s">
        <v>61</v>
      </c>
      <c r="J50">
        <v>0.2</v>
      </c>
      <c r="K50">
        <v>0.35</v>
      </c>
      <c r="L50">
        <v>13.6</v>
      </c>
      <c r="M50">
        <v>27.6</v>
      </c>
      <c r="N50">
        <v>27.655310621242485</v>
      </c>
      <c r="O50">
        <v>27.696939287506272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36E9-5E6B-467C-9500-79B0511675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700B-7515-46AE-AE63-AC880012D70E}">
  <dimension ref="A1"/>
  <sheetViews>
    <sheetView workbookViewId="0">
      <selection activeCell="T12" sqref="T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B15AF1-24A3-46B5-9E19-14F06A3CA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Ads_Performance</vt:lpstr>
      <vt:lpstr>Competitor_Data</vt:lpstr>
      <vt:lpstr>Pricing_Logic</vt:lpstr>
      <vt:lpstr>Historical_Sales</vt:lpstr>
      <vt:lpstr>Inventory_Health</vt:lpstr>
      <vt:lpstr>Returns_Data</vt:lpstr>
      <vt:lpstr>Pricing_Data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bhoir</dc:creator>
  <cp:lastModifiedBy>sahil bhoir</cp:lastModifiedBy>
  <dcterms:created xsi:type="dcterms:W3CDTF">2025-12-22T15:50:47Z</dcterms:created>
  <dcterms:modified xsi:type="dcterms:W3CDTF">2025-12-25T15:33:44Z</dcterms:modified>
</cp:coreProperties>
</file>